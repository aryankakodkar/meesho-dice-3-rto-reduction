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https://d.docs.live.net/979b203c23b10474/Desktop/"/>
    </mc:Choice>
  </mc:AlternateContent>
  <xr:revisionPtr revIDLastSave="0" documentId="8_{EDB5C42F-9735-4279-94F2-D0EA4FF43D35}" xr6:coauthVersionLast="47" xr6:coauthVersionMax="47" xr10:uidLastSave="{00000000-0000-0000-0000-000000000000}"/>
  <bookViews>
    <workbookView xWindow="0" yWindow="0" windowWidth="28800" windowHeight="12105" tabRatio="592" xr2:uid="{00000000-000D-0000-FFFF-FFFF00000000}"/>
  </bookViews>
  <sheets>
    <sheet name="Assumptions" sheetId="1" r:id="rId1"/>
    <sheet name="Cost Model" sheetId="2" r:id="rId2"/>
    <sheet name="Node Breakdown" sheetId="3" r:id="rId3"/>
    <sheet name="Scenario Planner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5" l="1"/>
  <c r="B14" i="3"/>
  <c r="B11" i="3"/>
  <c r="C11" i="3" s="1"/>
  <c r="B10" i="3"/>
  <c r="C10" i="3" s="1"/>
  <c r="B9" i="3"/>
  <c r="C9" i="3" s="1"/>
  <c r="B8" i="3"/>
  <c r="C8" i="3" s="1"/>
  <c r="B7" i="3"/>
  <c r="C7" i="3" s="1"/>
  <c r="B6" i="3"/>
  <c r="C6" i="3" s="1"/>
  <c r="B5" i="3"/>
  <c r="B26" i="2"/>
  <c r="B30" i="2" s="1"/>
  <c r="B5" i="2"/>
  <c r="B7" i="2" s="1"/>
  <c r="B37" i="1"/>
  <c r="B36" i="1"/>
  <c r="B28" i="1"/>
  <c r="B29" i="1" s="1"/>
  <c r="B17" i="1"/>
  <c r="B7" i="1"/>
  <c r="B12" i="1" s="1"/>
  <c r="B12" i="2" l="1"/>
  <c r="B14" i="5"/>
  <c r="B12" i="3"/>
  <c r="B15" i="3"/>
  <c r="C5" i="3"/>
  <c r="C12" i="3" s="1"/>
  <c r="B6" i="2"/>
  <c r="B13" i="5" l="1"/>
  <c r="B15" i="5" s="1"/>
  <c r="B22" i="2"/>
  <c r="B13" i="2"/>
  <c r="B21" i="2" s="1"/>
  <c r="B33" i="2"/>
  <c r="B10" i="2"/>
  <c r="B11" i="2" s="1"/>
  <c r="B11" i="5"/>
  <c r="B19" i="2" l="1"/>
  <c r="B15" i="2"/>
  <c r="B34" i="2"/>
  <c r="B10" i="5"/>
  <c r="B12" i="5" s="1"/>
  <c r="B16" i="5" s="1"/>
  <c r="B20" i="2"/>
  <c r="B36" i="2" s="1"/>
  <c r="B14" i="2"/>
  <c r="B25" i="5" l="1"/>
  <c r="B20" i="5"/>
  <c r="B35" i="2"/>
  <c r="B23" i="2"/>
  <c r="B16" i="2"/>
  <c r="B29" i="2" l="1"/>
  <c r="B27" i="2"/>
  <c r="B28" i="2" s="1"/>
  <c r="B26" i="5"/>
  <c r="B21" i="5"/>
</calcChain>
</file>

<file path=xl/sharedStrings.xml><?xml version="1.0" encoding="utf-8"?>
<sst xmlns="http://schemas.openxmlformats.org/spreadsheetml/2006/main" count="121" uniqueCount="109">
  <si>
    <t>VALMO RTO COST MODEL — ASSUMPTIONS &amp; INPUTS</t>
  </si>
  <si>
    <t>Blue text = input you can edit. Black = calculated in this sheet. Yellow fill = key lever. Every input is sourced in column C.</t>
  </si>
  <si>
    <t>1. Volume &amp; Payment Mix</t>
  </si>
  <si>
    <t>Total orders (period)</t>
  </si>
  <si>
    <t>Source: Meesho Q1 FY27 filing, LTM (as cited in Round 1 deck) — swap in whatever period you want to model</t>
  </si>
  <si>
    <t>COD share of orders</t>
  </si>
  <si>
    <t>Source: DICE case data pack (Assumptions &amp; Data Pack)</t>
  </si>
  <si>
    <t>Prepaid share of orders</t>
  </si>
  <si>
    <t>2. RTO Rate by Payment Type</t>
  </si>
  <si>
    <t>RTO rate — COD orders</t>
  </si>
  <si>
    <t>Source: DICE case data pack</t>
  </si>
  <si>
    <t>RTO rate — Prepaid orders</t>
  </si>
  <si>
    <t>Blended RTO rate (sanity check)</t>
  </si>
  <si>
    <t>Should land ≈17% — matches the case pack's implied blended RTO rate</t>
  </si>
  <si>
    <t>3. Cost per Order (₹)</t>
  </si>
  <si>
    <t>Forward logistics cost — successful delivery</t>
  </si>
  <si>
    <t>Reverse logistics cost — RTO shipment (return leg only)</t>
  </si>
  <si>
    <t>Total cost of one RTO order (forward + reverse)</t>
  </si>
  <si>
    <t>Valmo bears the cost of the failed journey 'both ways' per case pack</t>
  </si>
  <si>
    <t>4. Forward Cost Breakdown by Network Node (₹)</t>
  </si>
  <si>
    <t>Node</t>
  </si>
  <si>
    <t>Cost (₹)</t>
  </si>
  <si>
    <t>Notes</t>
  </si>
  <si>
    <t>FM Hub</t>
  </si>
  <si>
    <t>First mile pickup from seller</t>
  </si>
  <si>
    <t>FM Carting</t>
  </si>
  <si>
    <t>Pickup hub → source sort centre</t>
  </si>
  <si>
    <t>FMSC (First Mile Sort Centre)</t>
  </si>
  <si>
    <t>Sort &amp; assign to line-haul route</t>
  </si>
  <si>
    <t>NLH (National Line Haul)</t>
  </si>
  <si>
    <t>Long-distance transport between cities</t>
  </si>
  <si>
    <t>LMSC (Destination Sort Centre)</t>
  </si>
  <si>
    <t>Re-sort into local delivery zones</t>
  </si>
  <si>
    <t>RLH (Regional Line Haul)</t>
  </si>
  <si>
    <t>Destination hub → local delivery hub</t>
  </si>
  <si>
    <t>LMDC (Last Mile Delivery)</t>
  </si>
  <si>
    <t>Rider delivery to doorstep — most expensive single node</t>
  </si>
  <si>
    <t>Total (should equal Forward cost above)</t>
  </si>
  <si>
    <t>Check</t>
  </si>
  <si>
    <t>5. Distance Mix (ASSUMPTION — refine with your own GPS/hub data)</t>
  </si>
  <si>
    <t>Distance from hub</t>
  </si>
  <si>
    <t>Share of order volume</t>
  </si>
  <si>
    <t>RTO rate</t>
  </si>
  <si>
    <t>Nearby (~2 km)</t>
  </si>
  <si>
    <t>Moderate (~5 km)</t>
  </si>
  <si>
    <t>Far (~10 km+)</t>
  </si>
  <si>
    <t>Check: shares sum to 100%</t>
  </si>
  <si>
    <t>Weighted RTO rate implied by this distance mix</t>
  </si>
  <si>
    <t>VALMO RTO COST MODEL — SCALED COST OF RTO</t>
  </si>
  <si>
    <t>Green text = pulled from the Assumptions sheet. Change any input there and this sheet recalculates.</t>
  </si>
  <si>
    <t>Order Volume Split</t>
  </si>
  <si>
    <t>Total orders</t>
  </si>
  <si>
    <t>COD orders</t>
  </si>
  <si>
    <t>Prepaid orders</t>
  </si>
  <si>
    <t>RTO &amp; Successful Delivery Split</t>
  </si>
  <si>
    <t>COD — RTO orders</t>
  </si>
  <si>
    <t>COD — Successful orders</t>
  </si>
  <si>
    <t>Prepaid — RTO orders</t>
  </si>
  <si>
    <t>Prepaid — Successful orders</t>
  </si>
  <si>
    <t>Total RTO orders</t>
  </si>
  <si>
    <t>Total successful orders</t>
  </si>
  <si>
    <t>Overall RTO rate (sanity check vs. Assumptions blended rate)</t>
  </si>
  <si>
    <t>Total Logistics Cost (₹)</t>
  </si>
  <si>
    <t>COD — successful delivery cost</t>
  </si>
  <si>
    <t>COD — RTO cost (forward + reverse)</t>
  </si>
  <si>
    <t>Prepaid — successful delivery cost</t>
  </si>
  <si>
    <t>Prepaid — RTO cost (forward + reverse)</t>
  </si>
  <si>
    <t>TOTAL LOGISTICS COST</t>
  </si>
  <si>
    <t>What RTO Is Actually Costing You</t>
  </si>
  <si>
    <t>Counterfactual cost if RTO rate were zero (all orders forward-only)</t>
  </si>
  <si>
    <t>Pure RTO 'waste' — incremental cost caused by RTO alone</t>
  </si>
  <si>
    <t>RTO waste as % of total logistics cost</t>
  </si>
  <si>
    <t>Blended cost per order — actual</t>
  </si>
  <si>
    <t>Blended cost per order — if zero RTO</t>
  </si>
  <si>
    <t>COD vs. Prepaid: Who Actually Drives the Cost</t>
  </si>
  <si>
    <t>COD share of order volume</t>
  </si>
  <si>
    <t>COD share of total RTO orders</t>
  </si>
  <si>
    <t>COD share of total logistics cost</t>
  </si>
  <si>
    <t>COD share of RTO-only cost (forward+reverse spent on RTO orders)</t>
  </si>
  <si>
    <t>WHERE THE ₹50 FORWARD COST ACTUALLY GOES</t>
  </si>
  <si>
    <t>Green text = pulled from Assumptions sheet node table.</t>
  </si>
  <si>
    <t>% of forward cost</t>
  </si>
  <si>
    <t>Total</t>
  </si>
  <si>
    <t>Single largest node</t>
  </si>
  <si>
    <t>Its share of forward cost</t>
  </si>
  <si>
    <t>Reading: LMDC (last mile delivery) alone is ~42% of the forward cost of every order — by far the single biggest node. That's consistent with last-mile being the most execution-heavy stage (navigation, multiple drop-offs, individual rider judgment) and explains why last-mile-focused fixes (address confidence, rider incentives, verified attempts) have the largest cost leverage per rupee spent.</t>
  </si>
  <si>
    <t>SCENARIO PLANNER — WHAT YOUR FIX IS WORTH IN ₹</t>
  </si>
  <si>
    <t>Edit the blue target rates below to model any intervention (COD intent check, address confidence score, verified-attempt protocol, etc.)</t>
  </si>
  <si>
    <t>1. Set Your Targets</t>
  </si>
  <si>
    <t>Target COD RTO rate (after fix)</t>
  </si>
  <si>
    <t>Target Prepaid RTO rate (after fix)</t>
  </si>
  <si>
    <t>% of avoided RTOs achieved via PRE-DISPATCH prevention (vs. post-attempt recovery)</t>
  </si>
  <si>
    <t>Pre-dispatch prevention (e.g. converting risky COD to prepaid before shipping) saves the full forward+reverse cost. Post-attempt recovery (e.g. rescheduling a failed attempt) saves only the reverse leg, since the forward trip is already sunk.</t>
  </si>
  <si>
    <t>2. Orders Avoided</t>
  </si>
  <si>
    <t>Current COD RTO orders</t>
  </si>
  <si>
    <t>New COD RTO orders at target rate</t>
  </si>
  <si>
    <t>COD RTO orders avoided</t>
  </si>
  <si>
    <t>Current Prepaid RTO orders</t>
  </si>
  <si>
    <t>New Prepaid RTO orders at target rate</t>
  </si>
  <si>
    <t>Prepaid RTO orders avoided</t>
  </si>
  <si>
    <t>TOTAL RTO orders avoided</t>
  </si>
  <si>
    <t>3. Savings</t>
  </si>
  <si>
    <t>Savings per avoided RTO (blended: prevention + recovery mix)</t>
  </si>
  <si>
    <t>TOTAL SAVINGS at full scale (entire order volume in Assumptions)</t>
  </si>
  <si>
    <t>Savings as % of current total logistics cost</t>
  </si>
  <si>
    <t>4. Your 30-Day Pilot, Sized in ₹</t>
  </si>
  <si>
    <t>Pilot scope — % of total order volume (e.g. 2 cities / 10-20 LMDCs)</t>
  </si>
  <si>
    <t>Pilot-scale RTO orders avoided</t>
  </si>
  <si>
    <t>Pilot-scale savings (30-90 day 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</si>
</sst>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₹#,##0"/>
  </numFmts>
  <fonts count="10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1"/>
      <color rgb="FF7A1F5C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color rgb="FF008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7A1F5C"/>
        <bgColor rgb="FF993366"/>
      </patternFill>
    </fill>
    <fill>
      <patternFill patternType="solid">
        <fgColor rgb="FFE2F0D9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3366"/>
      </patternFill>
    </fill>
    <fill>
      <patternFill patternType="solid">
        <fgColor theme="0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/>
    <xf numFmtId="3" fontId="5" fillId="2" borderId="0" xfId="0" applyNumberFormat="1" applyFont="1" applyFill="1"/>
    <xf numFmtId="0" fontId="6" fillId="0" borderId="0" xfId="0" applyFont="1"/>
    <xf numFmtId="164" fontId="5" fillId="2" borderId="0" xfId="0" applyNumberFormat="1" applyFont="1" applyFill="1"/>
    <xf numFmtId="164" fontId="4" fillId="0" borderId="0" xfId="0" applyNumberFormat="1" applyFont="1"/>
    <xf numFmtId="165" fontId="5" fillId="2" borderId="0" xfId="0" applyNumberFormat="1" applyFont="1" applyFill="1"/>
    <xf numFmtId="165" fontId="4" fillId="0" borderId="0" xfId="0" applyNumberFormat="1" applyFont="1"/>
    <xf numFmtId="0" fontId="7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4" fillId="4" borderId="0" xfId="0" applyFont="1" applyFill="1"/>
    <xf numFmtId="3" fontId="9" fillId="0" borderId="0" xfId="0" applyNumberFormat="1" applyFont="1"/>
    <xf numFmtId="3" fontId="4" fillId="0" borderId="0" xfId="0" applyNumberFormat="1" applyFont="1"/>
    <xf numFmtId="165" fontId="8" fillId="0" borderId="0" xfId="0" applyNumberFormat="1" applyFont="1"/>
    <xf numFmtId="164" fontId="8" fillId="5" borderId="0" xfId="0" applyNumberFormat="1" applyFont="1" applyFill="1"/>
    <xf numFmtId="165" fontId="9" fillId="0" borderId="0" xfId="0" applyNumberFormat="1" applyFont="1"/>
    <xf numFmtId="164" fontId="8" fillId="0" borderId="0" xfId="0" applyNumberFormat="1" applyFont="1"/>
    <xf numFmtId="164" fontId="4" fillId="5" borderId="0" xfId="0" applyNumberFormat="1" applyFont="1" applyFill="1"/>
    <xf numFmtId="3" fontId="8" fillId="0" borderId="0" xfId="0" applyNumberFormat="1" applyFont="1"/>
    <xf numFmtId="3" fontId="8" fillId="5" borderId="0" xfId="0" applyNumberFormat="1" applyFont="1" applyFill="1"/>
    <xf numFmtId="165" fontId="8" fillId="5" borderId="0" xfId="0" applyNumberFormat="1" applyFont="1" applyFill="1"/>
    <xf numFmtId="0" fontId="7" fillId="7" borderId="1" xfId="0" applyFont="1" applyFill="1" applyBorder="1" applyAlignment="1">
      <alignment horizontal="center" vertical="center" wrapText="1"/>
    </xf>
    <xf numFmtId="0" fontId="4" fillId="6" borderId="0" xfId="0" applyFont="1" applyFill="1"/>
    <xf numFmtId="164" fontId="5" fillId="8" borderId="0" xfId="0" applyNumberFormat="1" applyFont="1" applyFill="1"/>
    <xf numFmtId="164" fontId="4" fillId="6" borderId="0" xfId="0" applyNumberFormat="1" applyFont="1" applyFill="1"/>
    <xf numFmtId="2" fontId="5" fillId="8" borderId="0" xfId="0" applyNumberFormat="1" applyFont="1" applyFill="1"/>
    <xf numFmtId="0" fontId="0" fillId="6" borderId="0" xfId="0" applyFill="1"/>
    <xf numFmtId="0" fontId="6" fillId="6" borderId="0" xfId="0" applyFont="1" applyFill="1"/>
    <xf numFmtId="0" fontId="6" fillId="0" borderId="0" xfId="0" applyFont="1" applyAlignment="1">
      <alignment vertical="top" wrapText="1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3" fillId="6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A1F5C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28" zoomScaleNormal="100" workbookViewId="0">
      <selection activeCell="A51" sqref="A51"/>
    </sheetView>
  </sheetViews>
  <sheetFormatPr defaultColWidth="8.7109375" defaultRowHeight="15"/>
  <cols>
    <col min="1" max="1" width="46" customWidth="1"/>
    <col min="2" max="2" width="16" customWidth="1"/>
    <col min="3" max="3" width="62" customWidth="1"/>
    <col min="4" max="4" width="12" customWidth="1"/>
  </cols>
  <sheetData>
    <row r="1" spans="1:4" ht="18">
      <c r="A1" s="29" t="s">
        <v>0</v>
      </c>
      <c r="B1" s="29"/>
      <c r="C1" s="29"/>
      <c r="D1" s="29"/>
    </row>
    <row r="2" spans="1:4">
      <c r="A2" s="30" t="s">
        <v>1</v>
      </c>
      <c r="B2" s="30"/>
      <c r="C2" s="30"/>
      <c r="D2" s="30"/>
    </row>
    <row r="4" spans="1:4">
      <c r="A4" s="31" t="s">
        <v>2</v>
      </c>
      <c r="B4" s="31"/>
      <c r="C4" s="31"/>
      <c r="D4" s="31"/>
    </row>
    <row r="5" spans="1:4">
      <c r="A5" s="1" t="s">
        <v>3</v>
      </c>
      <c r="B5" s="2">
        <v>2830000000</v>
      </c>
      <c r="C5" s="3" t="s">
        <v>4</v>
      </c>
    </row>
    <row r="6" spans="1:4">
      <c r="A6" s="1" t="s">
        <v>5</v>
      </c>
      <c r="B6" s="4">
        <v>0.8</v>
      </c>
      <c r="C6" s="3" t="s">
        <v>6</v>
      </c>
    </row>
    <row r="7" spans="1:4">
      <c r="A7" s="1" t="s">
        <v>7</v>
      </c>
      <c r="B7" s="5">
        <f>1-B6</f>
        <v>0.19999999999999996</v>
      </c>
    </row>
    <row r="9" spans="1:4">
      <c r="A9" s="31" t="s">
        <v>8</v>
      </c>
      <c r="B9" s="31"/>
      <c r="C9" s="31"/>
      <c r="D9" s="31"/>
    </row>
    <row r="10" spans="1:4">
      <c r="A10" s="1" t="s">
        <v>9</v>
      </c>
      <c r="B10" s="4">
        <v>0.2</v>
      </c>
      <c r="C10" s="3" t="s">
        <v>10</v>
      </c>
    </row>
    <row r="11" spans="1:4">
      <c r="A11" s="1" t="s">
        <v>11</v>
      </c>
      <c r="B11" s="4">
        <v>0.05</v>
      </c>
      <c r="C11" s="3" t="s">
        <v>10</v>
      </c>
    </row>
    <row r="12" spans="1:4">
      <c r="A12" s="1" t="s">
        <v>12</v>
      </c>
      <c r="B12" s="5">
        <f>B6*B10+B7*B11</f>
        <v>0.17000000000000004</v>
      </c>
      <c r="C12" s="3" t="s">
        <v>13</v>
      </c>
    </row>
    <row r="14" spans="1:4">
      <c r="A14" s="31" t="s">
        <v>14</v>
      </c>
      <c r="B14" s="31"/>
      <c r="C14" s="31"/>
      <c r="D14" s="31"/>
    </row>
    <row r="15" spans="1:4">
      <c r="A15" s="1" t="s">
        <v>15</v>
      </c>
      <c r="B15" s="6">
        <v>50</v>
      </c>
      <c r="C15" s="3" t="s">
        <v>10</v>
      </c>
    </row>
    <row r="16" spans="1:4">
      <c r="A16" s="1" t="s">
        <v>16</v>
      </c>
      <c r="B16" s="6">
        <v>120</v>
      </c>
      <c r="C16" s="3" t="s">
        <v>10</v>
      </c>
    </row>
    <row r="17" spans="1:4">
      <c r="A17" s="1" t="s">
        <v>17</v>
      </c>
      <c r="B17" s="7">
        <f>B15+B16</f>
        <v>170</v>
      </c>
      <c r="C17" s="3" t="s">
        <v>18</v>
      </c>
    </row>
    <row r="19" spans="1:4">
      <c r="A19" s="31" t="s">
        <v>19</v>
      </c>
      <c r="B19" s="31"/>
      <c r="C19" s="31"/>
      <c r="D19" s="31"/>
    </row>
    <row r="20" spans="1:4">
      <c r="A20" s="8" t="s">
        <v>20</v>
      </c>
      <c r="B20" s="8" t="s">
        <v>21</v>
      </c>
      <c r="C20" s="8" t="s">
        <v>22</v>
      </c>
    </row>
    <row r="21" spans="1:4">
      <c r="A21" s="1" t="s">
        <v>23</v>
      </c>
      <c r="B21" s="6">
        <v>4</v>
      </c>
      <c r="C21" s="3" t="s">
        <v>24</v>
      </c>
    </row>
    <row r="22" spans="1:4">
      <c r="A22" s="1" t="s">
        <v>25</v>
      </c>
      <c r="B22" s="6">
        <v>2</v>
      </c>
      <c r="C22" s="3" t="s">
        <v>26</v>
      </c>
    </row>
    <row r="23" spans="1:4">
      <c r="A23" s="1" t="s">
        <v>27</v>
      </c>
      <c r="B23" s="6">
        <v>5</v>
      </c>
      <c r="C23" s="3" t="s">
        <v>28</v>
      </c>
    </row>
    <row r="24" spans="1:4">
      <c r="A24" s="1" t="s">
        <v>29</v>
      </c>
      <c r="B24" s="6">
        <v>8</v>
      </c>
      <c r="C24" s="3" t="s">
        <v>30</v>
      </c>
    </row>
    <row r="25" spans="1:4">
      <c r="A25" s="1" t="s">
        <v>31</v>
      </c>
      <c r="B25" s="6">
        <v>5</v>
      </c>
      <c r="C25" s="3" t="s">
        <v>32</v>
      </c>
    </row>
    <row r="26" spans="1:4">
      <c r="A26" s="1" t="s">
        <v>33</v>
      </c>
      <c r="B26" s="6">
        <v>5</v>
      </c>
      <c r="C26" s="3" t="s">
        <v>34</v>
      </c>
    </row>
    <row r="27" spans="1:4">
      <c r="A27" s="1" t="s">
        <v>35</v>
      </c>
      <c r="B27" s="6">
        <v>21</v>
      </c>
      <c r="C27" s="3" t="s">
        <v>36</v>
      </c>
    </row>
    <row r="28" spans="1:4">
      <c r="A28" s="9" t="s">
        <v>37</v>
      </c>
      <c r="B28" s="7">
        <f>SUM(B21:B27)</f>
        <v>50</v>
      </c>
    </row>
    <row r="29" spans="1:4">
      <c r="A29" s="1" t="s">
        <v>38</v>
      </c>
      <c r="B29" s="10" t="str">
        <f>IF(B28=B15,"OK — matches forward cost","MISMATCH — review")</f>
        <v>OK — matches forward cost</v>
      </c>
    </row>
    <row r="31" spans="1:4">
      <c r="A31" s="31" t="s">
        <v>39</v>
      </c>
      <c r="B31" s="31"/>
      <c r="C31" s="31"/>
      <c r="D31" s="31"/>
    </row>
    <row r="32" spans="1:4" ht="30">
      <c r="A32" s="8" t="s">
        <v>40</v>
      </c>
      <c r="B32" s="8" t="s">
        <v>41</v>
      </c>
      <c r="C32" s="8" t="s">
        <v>42</v>
      </c>
    </row>
    <row r="33" spans="1:4">
      <c r="A33" s="1" t="s">
        <v>43</v>
      </c>
      <c r="B33" s="4">
        <v>0.5</v>
      </c>
      <c r="C33" s="4">
        <v>0.15</v>
      </c>
    </row>
    <row r="34" spans="1:4">
      <c r="A34" s="1" t="s">
        <v>44</v>
      </c>
      <c r="B34" s="4">
        <v>0.3</v>
      </c>
      <c r="C34" s="4">
        <v>0.17</v>
      </c>
    </row>
    <row r="35" spans="1:4">
      <c r="A35" s="1" t="s">
        <v>45</v>
      </c>
      <c r="B35" s="4">
        <v>0.2</v>
      </c>
      <c r="C35" s="4">
        <v>0.22</v>
      </c>
    </row>
    <row r="36" spans="1:4">
      <c r="A36" s="1" t="s">
        <v>46</v>
      </c>
      <c r="B36" s="5">
        <f>SUM(B33:B35)</f>
        <v>1</v>
      </c>
    </row>
    <row r="37" spans="1:4">
      <c r="A37" s="1" t="s">
        <v>47</v>
      </c>
      <c r="B37" s="5">
        <f>SUMPRODUCT(B33:B35,C33:C35)</f>
        <v>0.17</v>
      </c>
      <c r="C37" s="3"/>
    </row>
    <row r="39" spans="1:4">
      <c r="A39" s="32"/>
      <c r="B39" s="32"/>
      <c r="C39" s="32"/>
      <c r="D39" s="32"/>
    </row>
    <row r="40" spans="1:4">
      <c r="A40" s="21"/>
      <c r="B40" s="21"/>
      <c r="C40" s="21"/>
      <c r="D40" s="21"/>
    </row>
    <row r="41" spans="1:4">
      <c r="A41" s="22"/>
      <c r="B41" s="23"/>
      <c r="C41" s="24"/>
      <c r="D41" s="25"/>
    </row>
    <row r="42" spans="1:4">
      <c r="A42" s="22"/>
      <c r="B42" s="23"/>
      <c r="C42" s="24"/>
      <c r="D42" s="25"/>
    </row>
    <row r="43" spans="1:4">
      <c r="A43" s="22"/>
      <c r="B43" s="23"/>
      <c r="C43" s="24"/>
      <c r="D43" s="25"/>
    </row>
    <row r="44" spans="1:4">
      <c r="A44" s="22"/>
      <c r="B44" s="23"/>
      <c r="C44" s="24"/>
      <c r="D44" s="25"/>
    </row>
    <row r="45" spans="1:4">
      <c r="A45" s="22"/>
      <c r="B45" s="23"/>
      <c r="C45" s="24"/>
      <c r="D45" s="25"/>
    </row>
    <row r="46" spans="1:4">
      <c r="A46" s="22"/>
      <c r="B46" s="23"/>
      <c r="C46" s="24"/>
      <c r="D46" s="25"/>
    </row>
    <row r="47" spans="1:4">
      <c r="A47" s="22"/>
      <c r="B47" s="23"/>
      <c r="C47" s="24"/>
      <c r="D47" s="25"/>
    </row>
    <row r="48" spans="1:4">
      <c r="A48" s="22"/>
      <c r="B48" s="24"/>
      <c r="C48" s="24"/>
      <c r="D48" s="26"/>
    </row>
    <row r="49" spans="1:4">
      <c r="A49" s="26"/>
      <c r="B49" s="26"/>
      <c r="C49" s="27"/>
      <c r="D49" s="26"/>
    </row>
  </sheetData>
  <mergeCells count="8">
    <mergeCell ref="A19:D19"/>
    <mergeCell ref="A31:D31"/>
    <mergeCell ref="A39:D39"/>
    <mergeCell ref="A1:D1"/>
    <mergeCell ref="A2:D2"/>
    <mergeCell ref="A4:D4"/>
    <mergeCell ref="A9:D9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zoomScaleNormal="100" workbookViewId="0">
      <selection activeCell="B10" sqref="B10"/>
    </sheetView>
  </sheetViews>
  <sheetFormatPr defaultColWidth="8.7109375" defaultRowHeight="15"/>
  <cols>
    <col min="1" max="1" width="50" customWidth="1"/>
    <col min="2" max="2" width="20" customWidth="1"/>
    <col min="3" max="3" width="50" customWidth="1"/>
  </cols>
  <sheetData>
    <row r="1" spans="1:3" ht="18">
      <c r="A1" s="29" t="s">
        <v>48</v>
      </c>
      <c r="B1" s="29"/>
      <c r="C1" s="29"/>
    </row>
    <row r="2" spans="1:3">
      <c r="A2" s="30" t="s">
        <v>49</v>
      </c>
      <c r="B2" s="30"/>
      <c r="C2" s="30"/>
    </row>
    <row r="4" spans="1:3">
      <c r="A4" s="31" t="s">
        <v>50</v>
      </c>
      <c r="B4" s="31"/>
      <c r="C4" s="31"/>
    </row>
    <row r="5" spans="1:3">
      <c r="A5" s="1" t="s">
        <v>51</v>
      </c>
      <c r="B5" s="11">
        <f>Assumptions!B5</f>
        <v>2830000000</v>
      </c>
    </row>
    <row r="6" spans="1:3">
      <c r="A6" s="1" t="s">
        <v>52</v>
      </c>
      <c r="B6" s="12">
        <f>B5*Assumptions!B6</f>
        <v>2264000000</v>
      </c>
    </row>
    <row r="7" spans="1:3">
      <c r="A7" s="1" t="s">
        <v>53</v>
      </c>
      <c r="B7" s="12">
        <f>B5*Assumptions!B7</f>
        <v>565999999.99999988</v>
      </c>
    </row>
    <row r="9" spans="1:3">
      <c r="A9" s="31" t="s">
        <v>54</v>
      </c>
      <c r="B9" s="31"/>
      <c r="C9" s="31"/>
    </row>
    <row r="10" spans="1:3">
      <c r="A10" s="1" t="s">
        <v>55</v>
      </c>
      <c r="B10" s="12">
        <f>B6*Assumptions!B10</f>
        <v>452800000</v>
      </c>
    </row>
    <row r="11" spans="1:3">
      <c r="A11" s="1" t="s">
        <v>56</v>
      </c>
      <c r="B11" s="12">
        <f>B6-B10</f>
        <v>1811200000</v>
      </c>
    </row>
    <row r="12" spans="1:3">
      <c r="A12" s="1" t="s">
        <v>57</v>
      </c>
      <c r="B12" s="12">
        <f>B7*Assumptions!B11</f>
        <v>28299999.999999996</v>
      </c>
    </row>
    <row r="13" spans="1:3">
      <c r="A13" s="1" t="s">
        <v>58</v>
      </c>
      <c r="B13" s="12">
        <f>B7-B12</f>
        <v>537699999.99999988</v>
      </c>
    </row>
    <row r="14" spans="1:3">
      <c r="A14" s="9" t="s">
        <v>59</v>
      </c>
      <c r="B14" s="12">
        <f>B10+B12</f>
        <v>481100000</v>
      </c>
    </row>
    <row r="15" spans="1:3">
      <c r="A15" s="9" t="s">
        <v>60</v>
      </c>
      <c r="B15" s="12">
        <f>B11+B13</f>
        <v>2348900000</v>
      </c>
    </row>
    <row r="16" spans="1:3">
      <c r="A16" s="1" t="s">
        <v>61</v>
      </c>
      <c r="B16" s="5">
        <f>B14/B5</f>
        <v>0.17</v>
      </c>
    </row>
    <row r="18" spans="1:3">
      <c r="A18" s="31" t="s">
        <v>62</v>
      </c>
      <c r="B18" s="31"/>
      <c r="C18" s="31"/>
    </row>
    <row r="19" spans="1:3">
      <c r="A19" s="1" t="s">
        <v>63</v>
      </c>
      <c r="B19" s="7">
        <f>B11*Assumptions!B15</f>
        <v>90560000000</v>
      </c>
    </row>
    <row r="20" spans="1:3">
      <c r="A20" s="1" t="s">
        <v>64</v>
      </c>
      <c r="B20" s="7">
        <f>B10*Assumptions!B17</f>
        <v>76976000000</v>
      </c>
    </row>
    <row r="21" spans="1:3">
      <c r="A21" s="1" t="s">
        <v>65</v>
      </c>
      <c r="B21" s="7">
        <f>B13*Assumptions!B15</f>
        <v>26884999999.999992</v>
      </c>
    </row>
    <row r="22" spans="1:3">
      <c r="A22" s="1" t="s">
        <v>66</v>
      </c>
      <c r="B22" s="7">
        <f>B12*Assumptions!B17</f>
        <v>4810999999.999999</v>
      </c>
    </row>
    <row r="23" spans="1:3">
      <c r="A23" s="9" t="s">
        <v>67</v>
      </c>
      <c r="B23" s="13">
        <f>SUM(B19:B22)</f>
        <v>199232000000</v>
      </c>
    </row>
    <row r="25" spans="1:3">
      <c r="A25" s="31" t="s">
        <v>68</v>
      </c>
      <c r="B25" s="31"/>
      <c r="C25" s="31"/>
    </row>
    <row r="26" spans="1:3">
      <c r="A26" s="1" t="s">
        <v>69</v>
      </c>
      <c r="B26" s="7">
        <f>B5*Assumptions!B15</f>
        <v>141500000000</v>
      </c>
    </row>
    <row r="27" spans="1:3">
      <c r="A27" s="9" t="s">
        <v>70</v>
      </c>
      <c r="B27" s="13">
        <f>B23-B26</f>
        <v>57732000000</v>
      </c>
    </row>
    <row r="28" spans="1:3">
      <c r="A28" s="9" t="s">
        <v>71</v>
      </c>
      <c r="B28" s="14">
        <f>B27/B23</f>
        <v>0.28977272727272729</v>
      </c>
    </row>
    <row r="29" spans="1:3">
      <c r="A29" s="1" t="s">
        <v>72</v>
      </c>
      <c r="B29" s="7">
        <f>B23/B5</f>
        <v>70.400000000000006</v>
      </c>
    </row>
    <row r="30" spans="1:3">
      <c r="A30" s="1" t="s">
        <v>73</v>
      </c>
      <c r="B30" s="7">
        <f>B26/B5</f>
        <v>50</v>
      </c>
    </row>
    <row r="32" spans="1:3">
      <c r="A32" s="31" t="s">
        <v>74</v>
      </c>
      <c r="B32" s="31"/>
      <c r="C32" s="31"/>
    </row>
    <row r="33" spans="1:2">
      <c r="A33" s="1" t="s">
        <v>75</v>
      </c>
      <c r="B33" s="5">
        <f>B6/B5</f>
        <v>0.8</v>
      </c>
    </row>
    <row r="34" spans="1:2">
      <c r="A34" s="9" t="s">
        <v>76</v>
      </c>
      <c r="B34" s="14">
        <f>B10/B14</f>
        <v>0.94117647058823528</v>
      </c>
    </row>
    <row r="35" spans="1:2">
      <c r="A35" s="1" t="s">
        <v>77</v>
      </c>
      <c r="B35" s="5">
        <f>(B19+B20)/B23</f>
        <v>0.84090909090909094</v>
      </c>
    </row>
    <row r="36" spans="1:2">
      <c r="A36" s="9" t="s">
        <v>78</v>
      </c>
      <c r="B36" s="14">
        <f>B20/(B20+B22)</f>
        <v>0.94117647058823528</v>
      </c>
    </row>
    <row r="37" spans="1:2">
      <c r="A37" s="3"/>
    </row>
  </sheetData>
  <mergeCells count="7">
    <mergeCell ref="A25:C25"/>
    <mergeCell ref="A32:C32"/>
    <mergeCell ref="A1:C1"/>
    <mergeCell ref="A2:C2"/>
    <mergeCell ref="A4:C4"/>
    <mergeCell ref="A9:C9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zoomScaleNormal="100" workbookViewId="0">
      <selection activeCell="A17" sqref="A17:C19"/>
    </sheetView>
  </sheetViews>
  <sheetFormatPr defaultColWidth="8.7109375" defaultRowHeight="15"/>
  <cols>
    <col min="1" max="1" width="38" customWidth="1"/>
    <col min="2" max="2" width="16" customWidth="1"/>
    <col min="3" max="3" width="20" customWidth="1"/>
  </cols>
  <sheetData>
    <row r="1" spans="1:3" ht="18">
      <c r="A1" s="29" t="s">
        <v>79</v>
      </c>
      <c r="B1" s="29"/>
      <c r="C1" s="29"/>
    </row>
    <row r="2" spans="1:3">
      <c r="A2" s="30" t="s">
        <v>80</v>
      </c>
      <c r="B2" s="30"/>
      <c r="C2" s="30"/>
    </row>
    <row r="4" spans="1:3">
      <c r="A4" s="8" t="s">
        <v>20</v>
      </c>
      <c r="B4" s="8" t="s">
        <v>21</v>
      </c>
      <c r="C4" s="8" t="s">
        <v>81</v>
      </c>
    </row>
    <row r="5" spans="1:3">
      <c r="A5" s="1" t="s">
        <v>23</v>
      </c>
      <c r="B5" s="15">
        <f>Assumptions!B21</f>
        <v>4</v>
      </c>
      <c r="C5" s="5">
        <f>B5/Assumptions!B28</f>
        <v>0.08</v>
      </c>
    </row>
    <row r="6" spans="1:3">
      <c r="A6" s="1" t="s">
        <v>25</v>
      </c>
      <c r="B6" s="15">
        <f>Assumptions!B22</f>
        <v>2</v>
      </c>
      <c r="C6" s="5">
        <f>B6/Assumptions!B28</f>
        <v>0.04</v>
      </c>
    </row>
    <row r="7" spans="1:3">
      <c r="A7" s="1" t="s">
        <v>27</v>
      </c>
      <c r="B7" s="15">
        <f>Assumptions!B23</f>
        <v>5</v>
      </c>
      <c r="C7" s="5">
        <f>B7/Assumptions!B28</f>
        <v>0.1</v>
      </c>
    </row>
    <row r="8" spans="1:3">
      <c r="A8" s="1" t="s">
        <v>29</v>
      </c>
      <c r="B8" s="15">
        <f>Assumptions!B24</f>
        <v>8</v>
      </c>
      <c r="C8" s="5">
        <f>B8/Assumptions!B28</f>
        <v>0.16</v>
      </c>
    </row>
    <row r="9" spans="1:3">
      <c r="A9" s="1" t="s">
        <v>31</v>
      </c>
      <c r="B9" s="15">
        <f>Assumptions!B25</f>
        <v>5</v>
      </c>
      <c r="C9" s="5">
        <f>B9/Assumptions!B28</f>
        <v>0.1</v>
      </c>
    </row>
    <row r="10" spans="1:3">
      <c r="A10" s="1" t="s">
        <v>33</v>
      </c>
      <c r="B10" s="15">
        <f>Assumptions!B26</f>
        <v>5</v>
      </c>
      <c r="C10" s="5">
        <f>B10/Assumptions!B28</f>
        <v>0.1</v>
      </c>
    </row>
    <row r="11" spans="1:3">
      <c r="A11" s="1" t="s">
        <v>35</v>
      </c>
      <c r="B11" s="15">
        <f>Assumptions!B27</f>
        <v>21</v>
      </c>
      <c r="C11" s="5">
        <f>B11/Assumptions!B28</f>
        <v>0.42</v>
      </c>
    </row>
    <row r="12" spans="1:3">
      <c r="A12" s="9" t="s">
        <v>82</v>
      </c>
      <c r="B12" s="13">
        <f>SUM(B5:B11)</f>
        <v>50</v>
      </c>
      <c r="C12" s="16">
        <f>SUM(C5:C11)</f>
        <v>1</v>
      </c>
    </row>
    <row r="14" spans="1:3">
      <c r="A14" s="1" t="s">
        <v>83</v>
      </c>
      <c r="B14" s="1" t="str">
        <f>INDEX(A5:A11,MATCH(MAX(B5:B11),B5:B11,0))</f>
        <v>LMDC (Last Mile Delivery)</v>
      </c>
    </row>
    <row r="15" spans="1:3">
      <c r="A15" s="1" t="s">
        <v>84</v>
      </c>
      <c r="B15" s="17">
        <f>MAX(B5:B11)/Assumptions!B28</f>
        <v>0.42</v>
      </c>
    </row>
    <row r="17" spans="1:3" ht="15" customHeight="1">
      <c r="A17" s="28" t="s">
        <v>85</v>
      </c>
      <c r="B17" s="28"/>
      <c r="C17" s="28"/>
    </row>
    <row r="18" spans="1:3">
      <c r="A18" s="28"/>
      <c r="B18" s="28"/>
      <c r="C18" s="28"/>
    </row>
    <row r="19" spans="1:3" ht="22.5" customHeight="1">
      <c r="A19" s="28"/>
      <c r="B19" s="28"/>
      <c r="C19" s="28"/>
    </row>
  </sheetData>
  <mergeCells count="3">
    <mergeCell ref="A1:C1"/>
    <mergeCell ref="A2:C2"/>
    <mergeCell ref="A17:C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zoomScaleNormal="100" workbookViewId="0">
      <selection activeCell="A28" sqref="A28:C31"/>
    </sheetView>
  </sheetViews>
  <sheetFormatPr defaultColWidth="8.7109375" defaultRowHeight="15"/>
  <cols>
    <col min="1" max="1" width="77.42578125" customWidth="1"/>
    <col min="2" max="2" width="20" customWidth="1"/>
    <col min="3" max="3" width="45" customWidth="1"/>
  </cols>
  <sheetData>
    <row r="1" spans="1:3" ht="18">
      <c r="A1" s="29" t="s">
        <v>86</v>
      </c>
      <c r="B1" s="29"/>
      <c r="C1" s="29"/>
    </row>
    <row r="2" spans="1:3">
      <c r="A2" s="30" t="s">
        <v>87</v>
      </c>
      <c r="B2" s="30"/>
      <c r="C2" s="30"/>
    </row>
    <row r="4" spans="1:3">
      <c r="A4" s="31" t="s">
        <v>88</v>
      </c>
      <c r="B4" s="31"/>
      <c r="C4" s="31"/>
    </row>
    <row r="5" spans="1:3">
      <c r="A5" s="1" t="s">
        <v>89</v>
      </c>
      <c r="B5" s="4">
        <v>0.15</v>
      </c>
    </row>
    <row r="6" spans="1:3">
      <c r="A6" s="1" t="s">
        <v>90</v>
      </c>
      <c r="B6" s="4">
        <v>0.04</v>
      </c>
    </row>
    <row r="7" spans="1:3">
      <c r="A7" s="1" t="s">
        <v>91</v>
      </c>
      <c r="B7" s="4">
        <v>0.3</v>
      </c>
      <c r="C7" s="3" t="s">
        <v>92</v>
      </c>
    </row>
    <row r="9" spans="1:3">
      <c r="A9" s="31" t="s">
        <v>93</v>
      </c>
      <c r="B9" s="31"/>
      <c r="C9" s="31"/>
    </row>
    <row r="10" spans="1:3">
      <c r="A10" s="1" t="s">
        <v>94</v>
      </c>
      <c r="B10" s="11">
        <f>'Cost Model'!B10</f>
        <v>452800000</v>
      </c>
    </row>
    <row r="11" spans="1:3">
      <c r="A11" s="1" t="s">
        <v>95</v>
      </c>
      <c r="B11" s="12">
        <f>'Cost Model'!B6*B5</f>
        <v>339600000</v>
      </c>
    </row>
    <row r="12" spans="1:3">
      <c r="A12" s="9" t="s">
        <v>96</v>
      </c>
      <c r="B12" s="18">
        <f>B10-B11</f>
        <v>113200000</v>
      </c>
    </row>
    <row r="13" spans="1:3">
      <c r="A13" s="1" t="s">
        <v>97</v>
      </c>
      <c r="B13" s="11">
        <f>'Cost Model'!B12</f>
        <v>28299999.999999996</v>
      </c>
    </row>
    <row r="14" spans="1:3">
      <c r="A14" s="1" t="s">
        <v>98</v>
      </c>
      <c r="B14" s="12">
        <f>'Cost Model'!B7*B6</f>
        <v>22639999.999999996</v>
      </c>
    </row>
    <row r="15" spans="1:3">
      <c r="A15" s="9" t="s">
        <v>99</v>
      </c>
      <c r="B15" s="18">
        <f>B13-B14</f>
        <v>5660000</v>
      </c>
    </row>
    <row r="16" spans="1:3">
      <c r="A16" s="9" t="s">
        <v>100</v>
      </c>
      <c r="B16" s="19">
        <f>B12+B15</f>
        <v>118860000</v>
      </c>
    </row>
    <row r="18" spans="1:3">
      <c r="A18" s="31" t="s">
        <v>101</v>
      </c>
      <c r="B18" s="31"/>
      <c r="C18" s="31"/>
    </row>
    <row r="19" spans="1:3">
      <c r="A19" s="1" t="s">
        <v>102</v>
      </c>
      <c r="B19" s="7">
        <f>B7*Assumptions!B17+(1-B7)*Assumptions!B16</f>
        <v>135</v>
      </c>
    </row>
    <row r="20" spans="1:3">
      <c r="A20" s="9" t="s">
        <v>103</v>
      </c>
      <c r="B20" s="20">
        <f>B16*B19</f>
        <v>16046100000</v>
      </c>
    </row>
    <row r="21" spans="1:3">
      <c r="A21" s="9" t="s">
        <v>104</v>
      </c>
      <c r="B21" s="14">
        <f>B20/'Cost Model'!B23</f>
        <v>8.0539772727272724E-2</v>
      </c>
    </row>
    <row r="23" spans="1:3">
      <c r="A23" s="31" t="s">
        <v>105</v>
      </c>
      <c r="B23" s="31"/>
      <c r="C23" s="31"/>
    </row>
    <row r="24" spans="1:3">
      <c r="A24" s="1" t="s">
        <v>106</v>
      </c>
      <c r="B24" s="4">
        <v>0.03</v>
      </c>
    </row>
    <row r="25" spans="1:3">
      <c r="A25" s="1" t="s">
        <v>107</v>
      </c>
      <c r="B25" s="12">
        <f>B16*B24</f>
        <v>3565800</v>
      </c>
    </row>
    <row r="26" spans="1:3">
      <c r="A26" s="9" t="s">
        <v>108</v>
      </c>
      <c r="B26" s="20">
        <f>B20*B24</f>
        <v>481383000</v>
      </c>
    </row>
    <row r="28" spans="1:3" ht="15" customHeight="1">
      <c r="A28" s="28"/>
      <c r="B28" s="28"/>
      <c r="C28" s="28"/>
    </row>
    <row r="29" spans="1:3">
      <c r="A29" s="28"/>
      <c r="B29" s="28"/>
      <c r="C29" s="28"/>
    </row>
    <row r="30" spans="1:3">
      <c r="A30" s="28"/>
      <c r="B30" s="28"/>
      <c r="C30" s="28"/>
    </row>
    <row r="31" spans="1:3">
      <c r="A31" s="28"/>
      <c r="B31" s="28"/>
      <c r="C31" s="28"/>
    </row>
  </sheetData>
  <mergeCells count="7">
    <mergeCell ref="A23:C23"/>
    <mergeCell ref="A28:C31"/>
    <mergeCell ref="A1:C1"/>
    <mergeCell ref="A2:C2"/>
    <mergeCell ref="A4:C4"/>
    <mergeCell ref="A9:C9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Admin</cp:lastModifiedBy>
  <cp:revision>0</cp:revision>
  <dcterms:created xsi:type="dcterms:W3CDTF">2026-09-26T05:58:12Z</dcterms:created>
  <dcterms:modified xsi:type="dcterms:W3CDTF">2026-10-05T15:12:18Z</dcterms:modified>
  <cp:category/>
  <cp:contentStatus/>
</cp:coreProperties>
</file>