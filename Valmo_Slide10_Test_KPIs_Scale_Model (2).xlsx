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979b203c23b10474/Desktop/"/>
    </mc:Choice>
  </mc:AlternateContent>
  <xr:revisionPtr revIDLastSave="0" documentId="8_{B3EB7309-045D-4FDB-A716-0756416E9AE5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Inputs" sheetId="1" r:id="rId1"/>
    <sheet name="Test_Maths" sheetId="2" r:id="rId2"/>
    <sheet name="North_Star_Maths" sheetId="3" r:id="rId3"/>
    <sheet name="Intervention_Econ" sheetId="4" r:id="rId4"/>
    <sheet name="FlashStore_Econ" sheetId="5" r:id="rId5"/>
    <sheet name="Partner_Econ" sheetId="6" r:id="rId6"/>
    <sheet name="KPI_Maths" sheetId="7" r:id="rId7"/>
    <sheet name="Pilot_Roadmap" sheetId="8" r:id="rId8"/>
    <sheet name="Risk_Gates" sheetId="9" r:id="rId9"/>
    <sheet name="Math_Guide" sheetId="10" r:id="rId10"/>
    <sheet name="Slide10_Dashboard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1" l="1"/>
  <c r="F50" i="11"/>
  <c r="F49" i="11"/>
  <c r="F48" i="11"/>
  <c r="F47" i="11"/>
  <c r="G47" i="11" s="1"/>
  <c r="F31" i="8"/>
  <c r="F30" i="8"/>
  <c r="F29" i="8"/>
  <c r="F28" i="8"/>
  <c r="F27" i="8"/>
  <c r="G27" i="8" s="1"/>
  <c r="F19" i="7"/>
  <c r="E19" i="7"/>
  <c r="D19" i="7"/>
  <c r="C19" i="7"/>
  <c r="F17" i="7"/>
  <c r="E17" i="7"/>
  <c r="D17" i="7"/>
  <c r="C17" i="7"/>
  <c r="B17" i="7"/>
  <c r="J13" i="7"/>
  <c r="J12" i="7"/>
  <c r="J11" i="7"/>
  <c r="J10" i="7"/>
  <c r="J9" i="7"/>
  <c r="J8" i="7"/>
  <c r="B10" i="6"/>
  <c r="B9" i="6"/>
  <c r="D8" i="6"/>
  <c r="C8" i="6"/>
  <c r="C9" i="6" s="1"/>
  <c r="C7" i="6"/>
  <c r="D6" i="6"/>
  <c r="E6" i="6" s="1"/>
  <c r="G6" i="6" s="1"/>
  <c r="H6" i="6" s="1"/>
  <c r="C21" i="5"/>
  <c r="C20" i="5"/>
  <c r="C19" i="5"/>
  <c r="F19" i="5" s="1"/>
  <c r="C18" i="5"/>
  <c r="C17" i="5"/>
  <c r="B13" i="5"/>
  <c r="D39" i="4"/>
  <c r="C39" i="4"/>
  <c r="E39" i="4" s="1"/>
  <c r="F39" i="4" s="1"/>
  <c r="D38" i="4"/>
  <c r="C38" i="4"/>
  <c r="E38" i="4" s="1"/>
  <c r="F38" i="4" s="1"/>
  <c r="D37" i="4"/>
  <c r="C37" i="4"/>
  <c r="E37" i="4" s="1"/>
  <c r="F37" i="4" s="1"/>
  <c r="D36" i="4"/>
  <c r="C36" i="4"/>
  <c r="E36" i="4" s="1"/>
  <c r="F36" i="4" s="1"/>
  <c r="D35" i="4"/>
  <c r="C35" i="4"/>
  <c r="E35" i="4" s="1"/>
  <c r="F35" i="4" s="1"/>
  <c r="D31" i="4"/>
  <c r="B31" i="4"/>
  <c r="C31" i="4" s="1"/>
  <c r="E31" i="4" s="1"/>
  <c r="D30" i="4"/>
  <c r="B30" i="4"/>
  <c r="C30" i="4" s="1"/>
  <c r="E30" i="4" s="1"/>
  <c r="D29" i="4"/>
  <c r="B29" i="4"/>
  <c r="C29" i="4" s="1"/>
  <c r="E29" i="4" s="1"/>
  <c r="D28" i="4"/>
  <c r="B28" i="4"/>
  <c r="C28" i="4" s="1"/>
  <c r="E28" i="4" s="1"/>
  <c r="D27" i="4"/>
  <c r="B27" i="4"/>
  <c r="C27" i="4" s="1"/>
  <c r="E27" i="4" s="1"/>
  <c r="B18" i="4"/>
  <c r="B17" i="4"/>
  <c r="B16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E16" i="3"/>
  <c r="D16" i="3"/>
  <c r="C16" i="3"/>
  <c r="B16" i="3"/>
  <c r="E15" i="3"/>
  <c r="D15" i="3"/>
  <c r="D18" i="3" s="1"/>
  <c r="C15" i="3"/>
  <c r="C17" i="3" s="1"/>
  <c r="B15" i="3"/>
  <c r="F15" i="3" s="1"/>
  <c r="F9" i="3"/>
  <c r="E9" i="3"/>
  <c r="D9" i="3"/>
  <c r="C9" i="3"/>
  <c r="F6" i="3"/>
  <c r="E6" i="3"/>
  <c r="D6" i="3"/>
  <c r="C6" i="3"/>
  <c r="B6" i="3"/>
  <c r="F9" i="2"/>
  <c r="G9" i="2" s="1"/>
  <c r="F8" i="2"/>
  <c r="G8" i="2" s="1"/>
  <c r="F7" i="2"/>
  <c r="G7" i="2" s="1"/>
  <c r="F6" i="2"/>
  <c r="G6" i="2" s="1"/>
  <c r="B13" i="1"/>
  <c r="B12" i="1"/>
  <c r="B7" i="3" l="1"/>
  <c r="B18" i="7"/>
  <c r="C21" i="7"/>
  <c r="C18" i="7"/>
  <c r="D8" i="3"/>
  <c r="D21" i="7"/>
  <c r="D18" i="7"/>
  <c r="E7" i="3"/>
  <c r="E21" i="7"/>
  <c r="E18" i="7"/>
  <c r="E8" i="3"/>
  <c r="F7" i="3"/>
  <c r="F21" i="7"/>
  <c r="F18" i="7"/>
  <c r="J7" i="7"/>
  <c r="F8" i="3"/>
  <c r="E17" i="3"/>
  <c r="E18" i="3"/>
  <c r="B19" i="4"/>
  <c r="B21" i="4" s="1"/>
  <c r="B20" i="4"/>
  <c r="B23" i="4" s="1"/>
  <c r="F27" i="4"/>
  <c r="F28" i="4"/>
  <c r="F29" i="4"/>
  <c r="F30" i="4"/>
  <c r="F31" i="4"/>
  <c r="D18" i="5"/>
  <c r="D21" i="5"/>
  <c r="D20" i="5"/>
  <c r="E20" i="5"/>
  <c r="E21" i="5"/>
  <c r="B20" i="7"/>
  <c r="C20" i="7"/>
  <c r="C22" i="7" s="1"/>
  <c r="D20" i="7"/>
  <c r="D22" i="7" s="1"/>
  <c r="E20" i="7"/>
  <c r="E22" i="7" s="1"/>
  <c r="F20" i="7"/>
  <c r="F22" i="7" s="1"/>
  <c r="G28" i="8"/>
  <c r="G29" i="8"/>
  <c r="G30" i="8"/>
  <c r="G31" i="8"/>
  <c r="G48" i="11"/>
  <c r="G49" i="11"/>
  <c r="G50" i="11"/>
  <c r="G51" i="11"/>
  <c r="K7" i="2"/>
  <c r="L7" i="2" s="1"/>
  <c r="H7" i="2"/>
  <c r="J7" i="2" s="1"/>
  <c r="K6" i="2"/>
  <c r="L6" i="2" s="1"/>
  <c r="H6" i="2"/>
  <c r="J6" i="2" s="1"/>
  <c r="H8" i="2"/>
  <c r="J8" i="2" s="1"/>
  <c r="K8" i="2"/>
  <c r="L8" i="2" s="1"/>
  <c r="K9" i="2"/>
  <c r="L9" i="2" s="1"/>
  <c r="H9" i="2"/>
  <c r="J9" i="2" s="1"/>
  <c r="E18" i="5"/>
  <c r="E10" i="3"/>
  <c r="F10" i="3"/>
  <c r="J6" i="7" s="1"/>
  <c r="F21" i="5"/>
  <c r="G21" i="5" s="1"/>
  <c r="F20" i="5"/>
  <c r="G20" i="5" s="1"/>
  <c r="D7" i="6"/>
  <c r="E7" i="6" s="1"/>
  <c r="G7" i="6" s="1"/>
  <c r="H7" i="6" s="1"/>
  <c r="E8" i="6"/>
  <c r="D17" i="5"/>
  <c r="E17" i="5" s="1"/>
  <c r="F17" i="5"/>
  <c r="B17" i="3"/>
  <c r="D17" i="3"/>
  <c r="D19" i="3" s="1"/>
  <c r="B18" i="3"/>
  <c r="D19" i="5"/>
  <c r="E19" i="5" s="1"/>
  <c r="G19" i="5" s="1"/>
  <c r="C7" i="3"/>
  <c r="D7" i="3"/>
  <c r="D10" i="3" s="1"/>
  <c r="F18" i="5"/>
  <c r="B8" i="3"/>
  <c r="B10" i="3" s="1"/>
  <c r="C8" i="3"/>
  <c r="C18" i="3"/>
  <c r="C19" i="3" s="1"/>
  <c r="B21" i="7"/>
  <c r="B22" i="7" s="1"/>
  <c r="F18" i="3" l="1"/>
  <c r="G17" i="5"/>
  <c r="B22" i="4"/>
  <c r="E19" i="3"/>
  <c r="G18" i="5"/>
  <c r="F17" i="3"/>
  <c r="B19" i="3"/>
  <c r="F19" i="3" s="1"/>
  <c r="D11" i="3"/>
  <c r="F11" i="3"/>
  <c r="E11" i="3"/>
  <c r="F9" i="6"/>
  <c r="E9" i="6"/>
  <c r="G9" i="6" s="1"/>
  <c r="F8" i="6"/>
  <c r="H8" i="6" s="1"/>
  <c r="F23" i="7"/>
  <c r="C23" i="7"/>
  <c r="E23" i="7"/>
  <c r="D23" i="7"/>
  <c r="C10" i="3"/>
  <c r="C11" i="3" s="1"/>
  <c r="G8" i="6" l="1"/>
  <c r="H9" i="6"/>
  <c r="F10" i="6"/>
  <c r="H10" i="6" s="1"/>
</calcChain>
</file>

<file path=xl/sharedStrings.xml><?xml version="1.0" encoding="utf-8"?>
<sst xmlns="http://schemas.openxmlformats.org/spreadsheetml/2006/main" count="1258" uniqueCount="812">
  <si>
    <t>VALMO | SLIDE 10 TEST, KPIs AND SCALE | INPUTS</t>
  </si>
  <si>
    <t>Hardcoded inputs are blue. Derived calculations are black. Values marked as planning assumptions should be replaced with measured pilot results before scale decisions.</t>
  </si>
  <si>
    <t>A. DICE CASE INPUTS</t>
  </si>
  <si>
    <t>Input</t>
  </si>
  <si>
    <t>Value</t>
  </si>
  <si>
    <t>Units</t>
  </si>
  <si>
    <t>Type</t>
  </si>
  <si>
    <t>Source / note</t>
  </si>
  <si>
    <t>Deck use</t>
  </si>
  <si>
    <t>Editable</t>
  </si>
  <si>
    <t>Owner</t>
  </si>
  <si>
    <t>Baseline RTO rate</t>
  </si>
  <si>
    <t>%</t>
  </si>
  <si>
    <t>Case input</t>
  </si>
  <si>
    <t>DICE case pack</t>
  </si>
  <si>
    <t>Problem baseline</t>
  </si>
  <si>
    <t>No</t>
  </si>
  <si>
    <t>Operations</t>
  </si>
  <si>
    <t>COD share</t>
  </si>
  <si>
    <t>% of orders</t>
  </si>
  <si>
    <t>RTO mix</t>
  </si>
  <si>
    <t>COD RTO rate</t>
  </si>
  <si>
    <t>% of COD orders</t>
  </si>
  <si>
    <t>Prepaid RTO rate</t>
  </si>
  <si>
    <t>% of prepaid orders</t>
  </si>
  <si>
    <t>Forward logistics cost</t>
  </si>
  <si>
    <t>₹ / shipped order</t>
  </si>
  <si>
    <t>Economic baseline</t>
  </si>
  <si>
    <t>Finance</t>
  </si>
  <si>
    <t>Reverse logistics cost</t>
  </si>
  <si>
    <t>₹ / RTO</t>
  </si>
  <si>
    <t>Economic hurdle</t>
  </si>
  <si>
    <t>Total failed-order logistics cost</t>
  </si>
  <si>
    <t>Derived</t>
  </si>
  <si>
    <t>Forward + reverse</t>
  </si>
  <si>
    <t>Economic engine</t>
  </si>
  <si>
    <t>Baseline cost / successful delivered order</t>
  </si>
  <si>
    <t>₹ / success</t>
  </si>
  <si>
    <t>Forward cost + expected reverse cost, divided by success rate</t>
  </si>
  <si>
    <t>North Star baseline</t>
  </si>
  <si>
    <t>Orders per normalized block</t>
  </si>
  <si>
    <t>orders</t>
  </si>
  <si>
    <t>Scenario</t>
  </si>
  <si>
    <t>Normalized modelling unit used for scale case</t>
  </si>
  <si>
    <t>Scale bridge</t>
  </si>
  <si>
    <t>Yes</t>
  </si>
  <si>
    <t>Model</t>
  </si>
  <si>
    <t>Months in year</t>
  </si>
  <si>
    <t>months</t>
  </si>
  <si>
    <t>Assumption</t>
  </si>
  <si>
    <t>Calendar assumption</t>
  </si>
  <si>
    <t>Annualisation</t>
  </si>
  <si>
    <t>B. PILOT PLANNING INPUTS</t>
  </si>
  <si>
    <t>Purpose</t>
  </si>
  <si>
    <t>Status</t>
  </si>
  <si>
    <t>Primary decision</t>
  </si>
  <si>
    <t>Q1 RTO improvement</t>
  </si>
  <si>
    <t>pp</t>
  </si>
  <si>
    <t>Prove</t>
  </si>
  <si>
    <t>Planning assumption</t>
  </si>
  <si>
    <t>Carryover from Slide 9 model</t>
  </si>
  <si>
    <t>Does prevention create positive contribution?</t>
  </si>
  <si>
    <t>Q2 RTO improvement</t>
  </si>
  <si>
    <t>Optimise</t>
  </si>
  <si>
    <t>Which segments work?</t>
  </si>
  <si>
    <t>Q3 RTO improvement</t>
  </si>
  <si>
    <t>Expand</t>
  </si>
  <si>
    <t>Can the model scale?</t>
  </si>
  <si>
    <t>Q4 RTO improvement</t>
  </si>
  <si>
    <t>Scale</t>
  </si>
  <si>
    <t>Does the run-rate remain positive?</t>
  </si>
  <si>
    <t>Q1 intervention spend</t>
  </si>
  <si>
    <t>₹ / order</t>
  </si>
  <si>
    <t>Blended cost</t>
  </si>
  <si>
    <t>Cost discipline</t>
  </si>
  <si>
    <t>Q2 intervention spend</t>
  </si>
  <si>
    <t>Q3 intervention spend</t>
  </si>
  <si>
    <t>Q4 intervention spend</t>
  </si>
  <si>
    <t>AI call cost</t>
  </si>
  <si>
    <t>₹ / action</t>
  </si>
  <si>
    <t>Worked example</t>
  </si>
  <si>
    <t>Slide 9 worked example</t>
  </si>
  <si>
    <t>Break-even save rate</t>
  </si>
  <si>
    <t>Assisted call test orders</t>
  </si>
  <si>
    <t>Illustrative test size</t>
  </si>
  <si>
    <t>Assumed assisted-call save rate</t>
  </si>
  <si>
    <t>Illustrative outcome</t>
  </si>
  <si>
    <t>Rider premium offered</t>
  </si>
  <si>
    <t>₹ / qualifying order</t>
  </si>
  <si>
    <t>Solution 2</t>
  </si>
  <si>
    <t>Slide 7 rider economics</t>
  </si>
  <si>
    <t>Premium below expected value</t>
  </si>
  <si>
    <t>Rural protection cost</t>
  </si>
  <si>
    <t>₹ / protected order</t>
  </si>
  <si>
    <t>Solution 3</t>
  </si>
  <si>
    <t>Slide 9 rider/rural economics</t>
  </si>
  <si>
    <t>Protection value</t>
  </si>
  <si>
    <t>VALMO | EXPERIMENT MATHS | BASELINE VS CONTROL VS TREATMENT</t>
  </si>
  <si>
    <t>Use matched control and treatment populations. Incremental RTO impact is measured against the control, not against a raw before/after comparison.</t>
  </si>
  <si>
    <t>A. FOUR TESTING TRACKS</t>
  </si>
  <si>
    <t>Track</t>
  </si>
  <si>
    <t>Control orders</t>
  </si>
  <si>
    <t>Treatment orders</t>
  </si>
  <si>
    <t>Control RTO rate</t>
  </si>
  <si>
    <t>Treatment RTO rate</t>
  </si>
  <si>
    <t>Incremental RTO reduction</t>
  </si>
  <si>
    <t>Incremental RTO avoided</t>
  </si>
  <si>
    <t>Value avoided</t>
  </si>
  <si>
    <t>Treatment spend</t>
  </si>
  <si>
    <t>Net value</t>
  </si>
  <si>
    <t>Cost / RTO avoided</t>
  </si>
  <si>
    <t>Economic gate</t>
  </si>
  <si>
    <t>Primary question</t>
  </si>
  <si>
    <t>Urban</t>
  </si>
  <si>
    <t>Does committed second-attempt scheduling improve delivery?</t>
  </si>
  <si>
    <t>Rural</t>
  </si>
  <si>
    <t>Does intent confirmation plus destination enrichment reduce rural RTO?</t>
  </si>
  <si>
    <t>Rider</t>
  </si>
  <si>
    <t>Does difficulty-adjusted incentive improve successful delivery without leakage?</t>
  </si>
  <si>
    <t>Recovery</t>
  </si>
  <si>
    <t>Does local recovery create positive net value after recovery costs?</t>
  </si>
  <si>
    <t>B. TEST METRICS AND EQUATIONS</t>
  </si>
  <si>
    <t>Metric</t>
  </si>
  <si>
    <t>Formula</t>
  </si>
  <si>
    <t>Why it matters</t>
  </si>
  <si>
    <t>Slide placement</t>
  </si>
  <si>
    <t>RTO rate</t>
  </si>
  <si>
    <t>RTO orders ÷ shipped orders</t>
  </si>
  <si>
    <t>1,700 ÷ 10,000 = 17.0%</t>
  </si>
  <si>
    <t>Core failure metric</t>
  </si>
  <si>
    <t>KPI panel</t>
  </si>
  <si>
    <t>Control RTO − Treatment RTO</t>
  </si>
  <si>
    <t>17.0% − 16.0% = 1.0pp</t>
  </si>
  <si>
    <t>Causal impact</t>
  </si>
  <si>
    <t>Pilot method</t>
  </si>
  <si>
    <t>Experimental principle</t>
  </si>
  <si>
    <t>RTOs avoided</t>
  </si>
  <si>
    <t>Control orders × incremental reduction</t>
  </si>
  <si>
    <t>10,000 × 1.0% = 100</t>
  </si>
  <si>
    <t>Benefit volume</t>
  </si>
  <si>
    <t>Test result</t>
  </si>
  <si>
    <t>Gross reverse cost avoided</t>
  </si>
  <si>
    <t>RTOs avoided × ₹120</t>
  </si>
  <si>
    <t>100 × ₹120 = ₹12,000</t>
  </si>
  <si>
    <t>₹</t>
  </si>
  <si>
    <t>Economic value</t>
  </si>
  <si>
    <t>Deck economics</t>
  </si>
  <si>
    <t>Intervention spend</t>
  </si>
  <si>
    <t>Treatment orders × cost / order</t>
  </si>
  <si>
    <t>10,000 × ₹5 = ₹50,000</t>
  </si>
  <si>
    <t>Incremental investment</t>
  </si>
  <si>
    <t>Pilot input</t>
  </si>
  <si>
    <t>Gross value avoided − spend</t>
  </si>
  <si>
    <t>₹72,000 − ₹50,000 = ₹22,000</t>
  </si>
  <si>
    <t>Contribution created</t>
  </si>
  <si>
    <t>Spend ÷ RTOs avoided</t>
  </si>
  <si>
    <t>₹50,000 ÷ 600 = ₹83.3</t>
  </si>
  <si>
    <t>Primary scale hurdle</t>
  </si>
  <si>
    <t>Slide 9</t>
  </si>
  <si>
    <t>Scale gate</t>
  </si>
  <si>
    <t>North star</t>
  </si>
  <si>
    <t>Total delivery + intervention + recovery costs ÷ successful deliveries</t>
  </si>
  <si>
    <t>Calculated in North_Star_Maths</t>
  </si>
  <si>
    <t>Prevents cheap RTO reduction at the expense of delivered-order economics</t>
  </si>
  <si>
    <t>Slide 10 logic</t>
  </si>
  <si>
    <t>North Star</t>
  </si>
  <si>
    <t>Finance / Ops</t>
  </si>
  <si>
    <t>VALMO | NORTH STAR | COST PER SUCCESSFUL DELIVERED ORDER</t>
  </si>
  <si>
    <t>North star includes forward delivery cost, expected reverse logistics burden and intervention spend. Lower is better, provided customer, rider and SLA guardrails also hold.</t>
  </si>
  <si>
    <t>A. NORTH STAR EVOLUTION</t>
  </si>
  <si>
    <t>Baseline</t>
  </si>
  <si>
    <t>Q1 Prove</t>
  </si>
  <si>
    <t>Q2 Optimise</t>
  </si>
  <si>
    <t>Q3 Expand</t>
  </si>
  <si>
    <t>Q4 Scale</t>
  </si>
  <si>
    <t>Unit</t>
  </si>
  <si>
    <t>Direction</t>
  </si>
  <si>
    <t>↓</t>
  </si>
  <si>
    <t>Successful delivery rate</t>
  </si>
  <si>
    <t>↑</t>
  </si>
  <si>
    <t>Logistics cost / shipped order</t>
  </si>
  <si>
    <t>Intervention spend / shipped order</t>
  </si>
  <si>
    <t>Cost / successful delivered order</t>
  </si>
  <si>
    <t>Change vs baseline</t>
  </si>
  <si>
    <t>-</t>
  </si>
  <si>
    <t>B. NORMALIZED 12-MONTH FINANCIAL BRIDGE</t>
  </si>
  <si>
    <t>Q1 / Prove</t>
  </si>
  <si>
    <t>Q2 / Optimise</t>
  </si>
  <si>
    <t>Q3 / Expand</t>
  </si>
  <si>
    <t>Q4 / Scale</t>
  </si>
  <si>
    <t>FY total</t>
  </si>
  <si>
    <t>Formula / logic</t>
  </si>
  <si>
    <t>Modelled shipped orders</t>
  </si>
  <si>
    <t>1M per quarter</t>
  </si>
  <si>
    <t>RTO improvement</t>
  </si>
  <si>
    <t>Inputs</t>
  </si>
  <si>
    <t>Gross reverse cost savings</t>
  </si>
  <si>
    <t>orders × improvement × ₹120</t>
  </si>
  <si>
    <t>orders × spend / order</t>
  </si>
  <si>
    <t>Net value created</t>
  </si>
  <si>
    <t>gross savings − intervention spend</t>
  </si>
  <si>
    <t>VALMO | INTERVENTION ECONOMICS | BREAK-EVEN AND HURDLES</t>
  </si>
  <si>
    <t>Pre-dispatch prevention can protect the full ₹170 failed-order logistics cost. Post-dispatch rescue uses the ₹120 reverse-cost hurdle. This distinction is retained throughout the model.</t>
  </si>
  <si>
    <t>A. INTERVENTION BREAK-EVEN LADDER</t>
  </si>
  <si>
    <t>Intervention</t>
  </si>
  <si>
    <t>Stage</t>
  </si>
  <si>
    <t>Cost / action (₹)</t>
  </si>
  <si>
    <t>Value at stake (₹)</t>
  </si>
  <si>
    <t>Net value at 10% save (₹)</t>
  </si>
  <si>
    <t>Cost / RTO avoided at 10% (₹)</t>
  </si>
  <si>
    <t>Use</t>
  </si>
  <si>
    <t>WhatsApp / SMS</t>
  </si>
  <si>
    <t>Pre-dispatch</t>
  </si>
  <si>
    <t>Broad low-cost test</t>
  </si>
  <si>
    <t>AI call</t>
  </si>
  <si>
    <t>High reachability risk</t>
  </si>
  <si>
    <t>Human-assisted call</t>
  </si>
  <si>
    <t>Higher-touch segments</t>
  </si>
  <si>
    <t>Rider reattempt</t>
  </si>
  <si>
    <t>Post-dispatch</t>
  </si>
  <si>
    <t>Only where success uplift is material</t>
  </si>
  <si>
    <t>Nearby-hub reroute</t>
  </si>
  <si>
    <t>Use where allocation is the issue</t>
  </si>
  <si>
    <t>Rural Connection Shield</t>
  </si>
  <si>
    <t>Pilot-calibrated protection cost</t>
  </si>
  <si>
    <t>Flash Store recovery</t>
  </si>
  <si>
    <t>Positive only if recovery clears handling hurdle</t>
  </si>
  <si>
    <t>B. ASSISTED CALL WORKED EXAMPLE</t>
  </si>
  <si>
    <t>Step</t>
  </si>
  <si>
    <t>Interpretation</t>
  </si>
  <si>
    <t>Source</t>
  </si>
  <si>
    <t>Slide use</t>
  </si>
  <si>
    <t>Targeted first-NDR orders</t>
  </si>
  <si>
    <t>Test population</t>
  </si>
  <si>
    <t>Slide 9 model</t>
  </si>
  <si>
    <t>Planning</t>
  </si>
  <si>
    <t>Hero calculation</t>
  </si>
  <si>
    <t>AI call cost / order</t>
  </si>
  <si>
    <t>Assumed save rate</t>
  </si>
  <si>
    <t>Orders × save rate</t>
  </si>
  <si>
    <t>Incremental impact</t>
  </si>
  <si>
    <t>Orders × cost</t>
  </si>
  <si>
    <t>Reverse cost avoided</t>
  </si>
  <si>
    <t>Gross value</t>
  </si>
  <si>
    <t>Gross value − spend</t>
  </si>
  <si>
    <t>Contribution</t>
  </si>
  <si>
    <t>Spend ÷ avoided RTO</t>
  </si>
  <si>
    <t>Compare with ₹120 hurdle</t>
  </si>
  <si>
    <t>C. SAVE-RATE SENSITIVITY</t>
  </si>
  <si>
    <t>Save rate</t>
  </si>
  <si>
    <t>RTOs avoided / 10K</t>
  </si>
  <si>
    <t>Value saved @ ₹120</t>
  </si>
  <si>
    <t>Intervention cost</t>
  </si>
  <si>
    <t>D. RIDER PREMIUM CEILING</t>
  </si>
  <si>
    <t>P(save)</t>
  </si>
  <si>
    <t>Expected value / qualifying order</t>
  </si>
  <si>
    <t>Premium offered</t>
  </si>
  <si>
    <t>Headroom / (shortfall)</t>
  </si>
  <si>
    <t>Decision</t>
  </si>
  <si>
    <t>Rule</t>
  </si>
  <si>
    <t>Conservative</t>
  </si>
  <si>
    <t>Premium ≤ expected value</t>
  </si>
  <si>
    <t>Base</t>
  </si>
  <si>
    <t>Strong</t>
  </si>
  <si>
    <t>High</t>
  </si>
  <si>
    <t>Theoretical ceiling @ 30%</t>
  </si>
  <si>
    <t>P(save) × ₹120</t>
  </si>
  <si>
    <t>VALMO | FLASH STORE | LOCAL RECOVERY ECONOMICS</t>
  </si>
  <si>
    <t>Recovery value combines reverse logistics avoided with recovered local sales, less seller discount, fulfilment, handling, payment and expected second RTO.</t>
  </si>
  <si>
    <t>A. NET RECOVERY VALUE PER RECOVERED PARCEL</t>
  </si>
  <si>
    <t>Line item</t>
  </si>
  <si>
    <t>Recovered sale revenue</t>
  </si>
  <si>
    <t>Benefit</t>
  </si>
  <si>
    <t>Slide 8 illustrative example</t>
  </si>
  <si>
    <t>Seller approved discount</t>
  </si>
  <si>
    <t>Cost</t>
  </si>
  <si>
    <t>Seller-set recovery price</t>
  </si>
  <si>
    <t>Local fulfilment cost</t>
  </si>
  <si>
    <t>Local delivery / fulfilment</t>
  </si>
  <si>
    <t>Handling cost</t>
  </si>
  <si>
    <t>Kirana / recovery handling</t>
  </si>
  <si>
    <t>Payment processing</t>
  </si>
  <si>
    <t>Payment cost</t>
  </si>
  <si>
    <t>Expected second RTO cost</t>
  </si>
  <si>
    <t>Expected leakage after recovery</t>
  </si>
  <si>
    <t>Reverse logistics avoided</t>
  </si>
  <si>
    <t>₹120 reverse hurdle</t>
  </si>
  <si>
    <t>Net recovery value</t>
  </si>
  <si>
    <t>Benefits − costs</t>
  </si>
  <si>
    <t>Economic result</t>
  </si>
  <si>
    <t>B. RECOVERY RATE SENSITIVITY</t>
  </si>
  <si>
    <t>Recovery rate</t>
  </si>
  <si>
    <t>Eligible parcels</t>
  </si>
  <si>
    <t>Recovered parcels</t>
  </si>
  <si>
    <t>Net recovery value / parcel</t>
  </si>
  <si>
    <t>Total net value</t>
  </si>
  <si>
    <t>Recovery cost</t>
  </si>
  <si>
    <t>VALMO | PARTNER SCORECARD | INCENTIVE AND SAVINGS MATH</t>
  </si>
  <si>
    <t>Partner governance economics use avoided RTOs as the value pool. Incentive payout is kept below the value created so the governance layer remains contribution-positive.</t>
  </si>
  <si>
    <t>A. 100-ORDER VALUE CREATION</t>
  </si>
  <si>
    <t>Orders</t>
  </si>
  <si>
    <t>RTOs recovered / 100</t>
  </si>
  <si>
    <t>Value / RTO</t>
  </si>
  <si>
    <t>Gross value created</t>
  </si>
  <si>
    <t>Operating cost</t>
  </si>
  <si>
    <t>Net value / order</t>
  </si>
  <si>
    <t>Full capture</t>
  </si>
  <si>
    <t>50% capture</t>
  </si>
  <si>
    <t>Partner example</t>
  </si>
  <si>
    <t>Elite bonus pool</t>
  </si>
  <si>
    <t>Bonus / delivery</t>
  </si>
  <si>
    <t>VALMO | KPI CALCULATION ENGINE | NORTH STAR + STAKEHOLDERS</t>
  </si>
  <si>
    <t>Every KPI is tied to a decision. Daily operational metrics can diagnose movement, while weekly economic metrics determine whether an intervention can scale.</t>
  </si>
  <si>
    <t>A. KPI CALCULATIONS</t>
  </si>
  <si>
    <t>Dimension</t>
  </si>
  <si>
    <t>KPI</t>
  </si>
  <si>
    <t>Numerator</t>
  </si>
  <si>
    <t>Denominator</t>
  </si>
  <si>
    <t>Target direction</t>
  </si>
  <si>
    <t>Cadence</t>
  </si>
  <si>
    <t>Current value</t>
  </si>
  <si>
    <t>(forward + expected reverse + intervention + recovery costs) ÷ successful deliveries</t>
  </si>
  <si>
    <t>Weekly</t>
  </si>
  <si>
    <t>Must improve</t>
  </si>
  <si>
    <t>Customer</t>
  </si>
  <si>
    <t>Daily</t>
  </si>
  <si>
    <t>Improve vs control</t>
  </si>
  <si>
    <t>NDR → delivery conversion</t>
  </si>
  <si>
    <t>Delivered after first failure ÷ first-NDR orders</t>
  </si>
  <si>
    <t>Ops / Product</t>
  </si>
  <si>
    <t>Reschedule completion</t>
  </si>
  <si>
    <t>Completed slots ÷ accepted slots</t>
  </si>
  <si>
    <t>No deterioration</t>
  </si>
  <si>
    <t>Product</t>
  </si>
  <si>
    <t>Verified attempt rate</t>
  </si>
  <si>
    <t>Attempts with GPS + timestamp + contact + reason code ÷ total attempts</t>
  </si>
  <si>
    <t>Partner Ops</t>
  </si>
  <si>
    <t>₹ / productive hour</t>
  </si>
  <si>
    <t>Rider earnings ÷ productive hours</t>
  </si>
  <si>
    <t>≥ baseline</t>
  </si>
  <si>
    <t>Network</t>
  </si>
  <si>
    <t>Wrong-hub rate</t>
  </si>
  <si>
    <t>Wrong-hub orders ÷ shipped orders</t>
  </si>
  <si>
    <t>Stable or better</t>
  </si>
  <si>
    <t>Second-RTO rate</t>
  </si>
  <si>
    <t>Second RTO ÷ recovered parcels</t>
  </si>
  <si>
    <t>No worsening</t>
  </si>
  <si>
    <t>Recovery Ops</t>
  </si>
  <si>
    <t>B. NORTH STAR RECONCILIATION</t>
  </si>
  <si>
    <t>Component</t>
  </si>
  <si>
    <t>Q1</t>
  </si>
  <si>
    <t>Q2</t>
  </si>
  <si>
    <t>Q3</t>
  </si>
  <si>
    <t>Q4</t>
  </si>
  <si>
    <t>Logic</t>
  </si>
  <si>
    <t>Forward cost / shipped order</t>
  </si>
  <si>
    <t>₹50</t>
  </si>
  <si>
    <t>Expected reverse cost / shipped order</t>
  </si>
  <si>
    <t>RTO rate × ₹120</t>
  </si>
  <si>
    <t>Planning input</t>
  </si>
  <si>
    <t>Total delivery cost / shipped order</t>
  </si>
  <si>
    <t>Forward + reverse + intervention</t>
  </si>
  <si>
    <t>1 − RTO rate</t>
  </si>
  <si>
    <t>Total delivery cost ÷ success rate</t>
  </si>
  <si>
    <t>Baseline less scenario, divided by baseline</t>
  </si>
  <si>
    <t>VALMO | 30 TO 60 TO 90 DAY PILOT | PROVE, OPTIMISE, SCALE</t>
  </si>
  <si>
    <t>The pilot stages are designed to isolate causal impact first, then optimise segment fit, then integrate the winning logic into existing Valmo workflows.</t>
  </si>
  <si>
    <t>A. PILOT STAGES</t>
  </si>
  <si>
    <t>Timing</t>
  </si>
  <si>
    <t>Objective</t>
  </si>
  <si>
    <t>Target pool</t>
  </si>
  <si>
    <t>Interventions</t>
  </si>
  <si>
    <t>Design</t>
  </si>
  <si>
    <t>Output</t>
  </si>
  <si>
    <t>Primary KPI</t>
  </si>
  <si>
    <t>Economic test</t>
  </si>
  <si>
    <t>Guardrails</t>
  </si>
  <si>
    <t>PROVE</t>
  </si>
  <si>
    <t>0 to 30 days</t>
  </si>
  <si>
    <t>Measure incremental impact</t>
  </si>
  <si>
    <t>First-NDR + COD-heavy + specific failure reasons</t>
  </si>
  <si>
    <t>Customer confirmation / AI call</t>
  </si>
  <si>
    <t>Control vs treatment, randomise within eligible segment</t>
  </si>
  <si>
    <t>Validated uplift by cause</t>
  </si>
  <si>
    <t>Continue only if contribution-positive</t>
  </si>
  <si>
    <t>RTO vs control</t>
  </si>
  <si>
    <t>Cost / RTO avoided &lt; ₹120</t>
  </si>
  <si>
    <t>Rider, CX and SLA protected</t>
  </si>
  <si>
    <t>OPTIMISE</t>
  </si>
  <si>
    <t>31 to 60 days</t>
  </si>
  <si>
    <t>Improve segment fit</t>
  </si>
  <si>
    <t>Urban, rural, rider, recovery clusters</t>
  </si>
  <si>
    <t>Appointment, rural intent, difficulty premium, verified attempt, selected recovery</t>
  </si>
  <si>
    <t>Segment by geography, pincode, distance and failure cause</t>
  </si>
  <si>
    <t>Winning segment playbook</t>
  </si>
  <si>
    <t>Expand only where unit economics hold</t>
  </si>
  <si>
    <t>NDR to delivery; verified attempt; recovery rate</t>
  </si>
  <si>
    <t>Positive contribution in winning segments</t>
  </si>
  <si>
    <t>No material operational complexity</t>
  </si>
  <si>
    <t>SCALE / MODIFY / STOP</t>
  </si>
  <si>
    <t>61 to 90 days</t>
  </si>
  <si>
    <t>Integrate winners into workflows</t>
  </si>
  <si>
    <t>Proven segments and partner clusters</t>
  </si>
  <si>
    <t>Allocation + risk + rider + recovery integration</t>
  </si>
  <si>
    <t>Controlled rollout with scale gates</t>
  </si>
  <si>
    <t>Repeatable operating model</t>
  </si>
  <si>
    <t>Scale, modify or stop by gate</t>
  </si>
  <si>
    <t>North star cost / success</t>
  </si>
  <si>
    <t>Positive net value and gate compliance</t>
  </si>
  <si>
    <t>No deterioration in customer, rider, speed or operations</t>
  </si>
  <si>
    <t>B. TARGET PILOT POOL</t>
  </si>
  <si>
    <t>Filter</t>
  </si>
  <si>
    <t>Include</t>
  </si>
  <si>
    <t>Exclude</t>
  </si>
  <si>
    <t>Reason</t>
  </si>
  <si>
    <t>First NDR</t>
  </si>
  <si>
    <t>Earliest rescue point</t>
  </si>
  <si>
    <t>First failed attempt</t>
  </si>
  <si>
    <t>Multiple prior attempts</t>
  </si>
  <si>
    <t>Cleanest causal test</t>
  </si>
  <si>
    <t>COD-heavy / high-risk</t>
  </si>
  <si>
    <t>Concentrate likely RTO exposure</t>
  </si>
  <si>
    <t>COD orders, high-risk signals</t>
  </si>
  <si>
    <t>Low-risk prepaid segments</t>
  </si>
  <si>
    <t>Higher signal density</t>
  </si>
  <si>
    <t>High RTO / difficult segment</t>
  </si>
  <si>
    <t>Target economics where intervention matters</t>
  </si>
  <si>
    <t>Distance, pincode, category, partner risk</t>
  </si>
  <si>
    <t>Very low-risk orders</t>
  </si>
  <si>
    <t>Avoid broad low-yield testing</t>
  </si>
  <si>
    <t>Specific failure reason</t>
  </si>
  <si>
    <t>Match intervention to cause</t>
  </si>
  <si>
    <t>Availability, address, intent, payment</t>
  </si>
  <si>
    <t>Unknown reason</t>
  </si>
  <si>
    <t>Prevents one-size-fits-all treatment</t>
  </si>
  <si>
    <t>Matched controls</t>
  </si>
  <si>
    <t>Prevent allocation bias</t>
  </si>
  <si>
    <t>Same reason + geography + order mix</t>
  </si>
  <si>
    <t>Non-comparable controls</t>
  </si>
  <si>
    <t>Improves interpretability</t>
  </si>
  <si>
    <t>Analytics</t>
  </si>
  <si>
    <t>C. RANDOMISATION AND CONTROL METHOD</t>
  </si>
  <si>
    <t>Randomisation method</t>
  </si>
  <si>
    <t>Control</t>
  </si>
  <si>
    <t>Treatment</t>
  </si>
  <si>
    <t>Unit of assignment</t>
  </si>
  <si>
    <t>Primary measure</t>
  </si>
  <si>
    <t>Guardrail</t>
  </si>
  <si>
    <t>Order-level randomisation among eligible orders</t>
  </si>
  <si>
    <t>Normal NDR process</t>
  </si>
  <si>
    <t>Appointment-based reattempt</t>
  </si>
  <si>
    <t>Order</t>
  </si>
  <si>
    <t>CSAT and SLA</t>
  </si>
  <si>
    <t>Treatment wins if RTO drops without CX or speed damage</t>
  </si>
  <si>
    <t>Order-level randomisation where operationally feasible</t>
  </si>
  <si>
    <t>Current COD / delivery journey</t>
  </si>
  <si>
    <t>Intent confirmation + destination enrichment</t>
  </si>
  <si>
    <t>RTO reduction by segment</t>
  </si>
  <si>
    <t>Distance and serviceability</t>
  </si>
  <si>
    <t>Use geography-specific treatment effects</t>
  </si>
  <si>
    <t>Rider or cluster-level test to prevent incentive spillover</t>
  </si>
  <si>
    <t>Existing rider economics</t>
  </si>
  <si>
    <t>Difficulty premium + verified attempt + quality-gated bonus</t>
  </si>
  <si>
    <t>Rider / cluster</t>
  </si>
  <si>
    <t>Successful deliveries / rider-hour</t>
  </si>
  <si>
    <t>Pay only when productivity and quality hold</t>
  </si>
  <si>
    <t>Eligible parcels randomly assigned to matched control / treatment</t>
  </si>
  <si>
    <t>Eligible parcel follows normal RTO</t>
  </si>
  <si>
    <t>Eligible parcel enters recovery flow</t>
  </si>
  <si>
    <t>Parcel</t>
  </si>
  <si>
    <t>Recovery net value</t>
  </si>
  <si>
    <t>Second RTO and dwell</t>
  </si>
  <si>
    <t>Recover only when local value is positive</t>
  </si>
  <si>
    <t>D. RICE PRIORITISATION</t>
  </si>
  <si>
    <t>Reach</t>
  </si>
  <si>
    <t>Impact</t>
  </si>
  <si>
    <t>Confidence</t>
  </si>
  <si>
    <t>Effort</t>
  </si>
  <si>
    <t>RICE score</t>
  </si>
  <si>
    <t>Priority</t>
  </si>
  <si>
    <t>AI call / assisted contact</t>
  </si>
  <si>
    <t>High reach, low implementation effort</t>
  </si>
  <si>
    <t>Reschedule / appointment</t>
  </si>
  <si>
    <t>Directly tests customer availability</t>
  </si>
  <si>
    <t>Rider incentive, difficulty-adjusted</t>
  </si>
  <si>
    <t>Potentially large impact but needs behaviour controls</t>
  </si>
  <si>
    <t>Targeted rural value where connection loss is costly</t>
  </si>
  <si>
    <t>Kirana / Flash Store recovery</t>
  </si>
  <si>
    <t>High value per success but narrower eligible pool</t>
  </si>
  <si>
    <t>VALMO | RISKS, GUARDRAILS AND SCALE GATES</t>
  </si>
  <si>
    <t>Every intervention has a corresponding failure mode, monitoring KPI and stop or modify condition. No scale decision is based on RTO alone.</t>
  </si>
  <si>
    <t>A. RISK TO GUARDRAIL</t>
  </si>
  <si>
    <t>Risk</t>
  </si>
  <si>
    <t>Failure mode</t>
  </si>
  <si>
    <t>Stop / modify signal</t>
  </si>
  <si>
    <t>Rider gaming</t>
  </si>
  <si>
    <t>Fake or instant attempt marking</t>
  </si>
  <si>
    <t>GPS + timestamp + minimum dwell + contact event + reason code</t>
  </si>
  <si>
    <t>Verified-attempt rate</t>
  </si>
  <si>
    <t>Anomaly or complaint increase</t>
  </si>
  <si>
    <t>Monitor</t>
  </si>
  <si>
    <t>Cherry-picking</t>
  </si>
  <si>
    <t>Difficult orders avoided</t>
  </si>
  <si>
    <t>Difficulty score, allocation checked first, targeted premium</t>
  </si>
  <si>
    <t>Acceptance by difficulty band</t>
  </si>
  <si>
    <t>High-risk acceptance gap</t>
  </si>
  <si>
    <t>Network / Partner Ops</t>
  </si>
  <si>
    <t>Node inventory buildup</t>
  </si>
  <si>
    <t>Recovery node fills and parcel ages</t>
  </si>
  <si>
    <t>Dynamic capacity, stop routing when full</t>
  </si>
  <si>
    <t>Dwell time / utilisation</t>
  </si>
  <si>
    <t>Dwell or loss worsens</t>
  </si>
  <si>
    <t>Medium</t>
  </si>
  <si>
    <t>Seller resistance</t>
  </si>
  <si>
    <t>Low opt-in to reallocation</t>
  </si>
  <si>
    <t>Seller opt-in + price floor / discount band</t>
  </si>
  <si>
    <t>Opt-in / satisfaction</t>
  </si>
  <si>
    <t>Opt-in too low</t>
  </si>
  <si>
    <t>Seller Ops</t>
  </si>
  <si>
    <t>Customer fatigue</t>
  </si>
  <si>
    <t>Too many contacts</t>
  </si>
  <si>
    <t>Reason-specific action, stop after clear refusal</t>
  </si>
  <si>
    <t>Complaint / opt-out rate</t>
  </si>
  <si>
    <t>Complaint increase</t>
  </si>
  <si>
    <t>CX / Product</t>
  </si>
  <si>
    <t>Second RTO</t>
  </si>
  <si>
    <t>Recovered sale fails again</t>
  </si>
  <si>
    <t>Prepaid / high-intent buyer + eligibility gate</t>
  </si>
  <si>
    <t>Second-RTO worsens</t>
  </si>
  <si>
    <t>B. SCALE GATE</t>
  </si>
  <si>
    <t>Gate</t>
  </si>
  <si>
    <t>Measure</t>
  </si>
  <si>
    <t>Scale condition</t>
  </si>
  <si>
    <t>Economics</t>
  </si>
  <si>
    <t>&lt; ₹120</t>
  </si>
  <si>
    <t>Contribution must exceed reverse-cost hurdle</t>
  </si>
  <si>
    <t>PENDING PILOT</t>
  </si>
  <si>
    <t>RTO</t>
  </si>
  <si>
    <t>Meaningful reduction vs control</t>
  </si>
  <si>
    <t>Confirms causal impact</t>
  </si>
  <si>
    <t>Protects partner economics</t>
  </si>
  <si>
    <t>Complaints / CSAT</t>
  </si>
  <si>
    <t>No material deterioration</t>
  </si>
  <si>
    <t>Protects customer experience</t>
  </si>
  <si>
    <t>CX</t>
  </si>
  <si>
    <t>Speed</t>
  </si>
  <si>
    <t>TAT / SLA</t>
  </si>
  <si>
    <t>No material increase</t>
  </si>
  <si>
    <t>Prevents hidden service degradation</t>
  </si>
  <si>
    <t>Operations / Recovery</t>
  </si>
  <si>
    <t>Wrong-hub, distance, damage, second RTO</t>
  </si>
  <si>
    <t>Stable or improved; positive recovery economics</t>
  </si>
  <si>
    <t>Prevents scale-induced leakage</t>
  </si>
  <si>
    <t>Ops / Recovery</t>
  </si>
  <si>
    <t>C. 12-MONTH OPERATING LOOP</t>
  </si>
  <si>
    <t>Decision question</t>
  </si>
  <si>
    <t>What scales</t>
  </si>
  <si>
    <t>Evidence required</t>
  </si>
  <si>
    <t>Dependency</t>
  </si>
  <si>
    <t>Predict</t>
  </si>
  <si>
    <t>Where is RTO risk concentrated?</t>
  </si>
  <si>
    <t>Existing risk signals as inputs</t>
  </si>
  <si>
    <t>Calibration and lift by segment</t>
  </si>
  <si>
    <t>RTO by segment</t>
  </si>
  <si>
    <t>Data availability</t>
  </si>
  <si>
    <t>Prevent</t>
  </si>
  <si>
    <t>Can the failure be avoided economically?</t>
  </si>
  <si>
    <t>Address, LMDC, intent and rider actions</t>
  </si>
  <si>
    <t>Positive incremental economics</t>
  </si>
  <si>
    <t>Correct allocation</t>
  </si>
  <si>
    <t>Intercept</t>
  </si>
  <si>
    <t>What is the cheapest next best action?</t>
  </si>
  <si>
    <t>Reason-specific decision layer</t>
  </si>
  <si>
    <t>Control vs treatment effect</t>
  </si>
  <si>
    <t>NDR to delivery</t>
  </si>
  <si>
    <t>Reason codes</t>
  </si>
  <si>
    <t>Recover</t>
  </si>
  <si>
    <t>Can parcel value be preserved?</t>
  </si>
  <si>
    <t>Kirana + seller-authorized reallocation</t>
  </si>
  <si>
    <t>Positive unit economics</t>
  </si>
  <si>
    <t>Match / pickup / second RTO</t>
  </si>
  <si>
    <t>Seller + legal readiness</t>
  </si>
  <si>
    <t>VALMO | SLIDE 10 MATH GUIDE</t>
  </si>
  <si>
    <t>Use this sheet as the audit trail when presenting the slide. Every headline number should trace back to a case input or a clearly labelled planning assumption.</t>
  </si>
  <si>
    <t>A. CORE FORMULAS</t>
  </si>
  <si>
    <t>Calculation</t>
  </si>
  <si>
    <t>Equation</t>
  </si>
  <si>
    <t>Source / status</t>
  </si>
  <si>
    <t>Blended RTO rate</t>
  </si>
  <si>
    <t>COD share × COD RTO + prepaid share × prepaid RTO</t>
  </si>
  <si>
    <t>80% × 20% + 20% × 5% = 17.0%</t>
  </si>
  <si>
    <t>Baseline RTO</t>
  </si>
  <si>
    <t>DICE case input</t>
  </si>
  <si>
    <t>Slides 2 and 10</t>
  </si>
  <si>
    <t>Reverse cost / shipped order</t>
  </si>
  <si>
    <t>17% × ₹120 = ₹20.40</t>
  </si>
  <si>
    <t>Expected reverse burden per shipped order</t>
  </si>
  <si>
    <t>Derived from case</t>
  </si>
  <si>
    <t>Failed-order logistics cost</t>
  </si>
  <si>
    <t>₹50 + ₹120</t>
  </si>
  <si>
    <t>₹170</t>
  </si>
  <si>
    <t>Forward + reverse cost at stake</t>
  </si>
  <si>
    <t>Slide 9 link</t>
  </si>
  <si>
    <t>Baseline cost / successful delivery</t>
  </si>
  <si>
    <t>(₹50 + RTO × ₹120) ÷ (1 − RTO)</t>
  </si>
  <si>
    <t>70.4 ÷ 83% = ₹84.82</t>
  </si>
  <si>
    <t>North-star baseline</t>
  </si>
  <si>
    <t>Slide 10</t>
  </si>
  <si>
    <t>Control RTO − treatment RTO</t>
  </si>
  <si>
    <t>17% − 16% = 1.0pp</t>
  </si>
  <si>
    <t>Causal treatment effect</t>
  </si>
  <si>
    <t>Pilot methodology</t>
  </si>
  <si>
    <t>10,000 × 1% = 100</t>
  </si>
  <si>
    <t>Incremental impact volume</t>
  </si>
  <si>
    <t>600 × ₹120 = ₹72,000</t>
  </si>
  <si>
    <t>Gross reverse-cost value</t>
  </si>
  <si>
    <t>Slide 9 / 10</t>
  </si>
  <si>
    <t>Treatment orders × intervention cost / order</t>
  </si>
  <si>
    <t>Illustrative model</t>
  </si>
  <si>
    <t>Gross value avoided − intervention spend</t>
  </si>
  <si>
    <t>Contribution before second-order effects</t>
  </si>
  <si>
    <t>Intervention spend ÷ RTOs avoided</t>
  </si>
  <si>
    <t>Primary economics gate</t>
  </si>
  <si>
    <t>Rider premium ceiling</t>
  </si>
  <si>
    <t>30% × ₹120 = ₹36</t>
  </si>
  <si>
    <t>Maximum theoretical premium</t>
  </si>
  <si>
    <t>Architecture logic</t>
  </si>
  <si>
    <t>Recovered revenue − seller discount − fulfilment − handling − payment − second RTO + reverse cost avoided</t>
  </si>
  <si>
    <t>₹273</t>
  </si>
  <si>
    <t>Recovery contribution per parcel</t>
  </si>
  <si>
    <t>Illustrative recovery example</t>
  </si>
  <si>
    <t>RICE</t>
  </si>
  <si>
    <t>Reach × Impact × Confidence ÷ Effort</t>
  </si>
  <si>
    <t>5 × 4 × 4 ÷ 2 = 40</t>
  </si>
  <si>
    <t>Prioritisation score</t>
  </si>
  <si>
    <t>Planning framework</t>
  </si>
  <si>
    <t>B. 12-MONTH SCALE MATH</t>
  </si>
  <si>
    <t>Example</t>
  </si>
  <si>
    <t>Caveat</t>
  </si>
  <si>
    <t>Gross savings / quarter</t>
  </si>
  <si>
    <t>Orders × RTO improvement × ₹120</t>
  </si>
  <si>
    <t>1M × 1pp × ₹120 = ₹12 lakh</t>
  </si>
  <si>
    <t>Gross reverse-cost savings</t>
  </si>
  <si>
    <t>Normalized volume</t>
  </si>
  <si>
    <t>Intervention spend / quarter</t>
  </si>
  <si>
    <t>Orders × spend / order</t>
  </si>
  <si>
    <t>1M × ₹0.50 = ₹5 lakh</t>
  </si>
  <si>
    <t>Investment</t>
  </si>
  <si>
    <t>Replace with actual spend</t>
  </si>
  <si>
    <t>Net value / quarter</t>
  </si>
  <si>
    <t>Gross savings − intervention spend</t>
  </si>
  <si>
    <t>₹12 lakh − ₹5 lakh = ₹7 lakh</t>
  </si>
  <si>
    <t>Before second-order effects</t>
  </si>
  <si>
    <t>Spend ÷ incremental RTOs avoided</t>
  </si>
  <si>
    <t>₹5 lakh ÷ 10,000 = ₹50</t>
  </si>
  <si>
    <t>Unit economics</t>
  </si>
  <si>
    <t>Must remain &lt; ₹120</t>
  </si>
  <si>
    <t>Annualized Q4 net value</t>
  </si>
  <si>
    <t>Monthly net × 12</t>
  </si>
  <si>
    <t>₹47.5 lakh × 12 = ₹5.7 Cr</t>
  </si>
  <si>
    <t>Run-rate illustration</t>
  </si>
  <si>
    <t>Not a forecast</t>
  </si>
  <si>
    <t>North-star change</t>
  </si>
  <si>
    <t>(Baseline − Scenario) ÷ Baseline</t>
  </si>
  <si>
    <t>(84.82 − 74.60) ÷ 84.82 = 12.0%</t>
  </si>
  <si>
    <t>Efficiency improvement</t>
  </si>
  <si>
    <t>Includes intervention spend</t>
  </si>
  <si>
    <t>Scale decision</t>
  </si>
  <si>
    <t>All gates pass</t>
  </si>
  <si>
    <t>Economics + RTO + Rider + Customer + Speed + Operations</t>
  </si>
  <si>
    <t>Prevents premature scaling</t>
  </si>
  <si>
    <t>Requires pilot evidence</t>
  </si>
  <si>
    <t>10. TEST + KPIs + 30 TO 60 TO 90 + SCALE</t>
  </si>
  <si>
    <t>TEST WHAT WORKS. SCALE ONLY WHAT CREATES NET VALUE.</t>
  </si>
  <si>
    <t>Every intervention must be evaluated on incremental RTO reduction, economic contribution, rider economics, customer experience, speed and operational stability.</t>
  </si>
  <si>
    <t>A. EXPERIMENTAL PRINCIPLE | TEST → LEARN → PROVE ECONOMICS → SCALE</t>
  </si>
  <si>
    <t>BASELINE</t>
  </si>
  <si>
    <t>CONTROL</t>
  </si>
  <si>
    <t>VS</t>
  </si>
  <si>
    <t>TREATMENT</t>
  </si>
  <si>
    <t>INCREMENTAL IMPACT</t>
  </si>
  <si>
    <t>ECONOMIC VALUE</t>
  </si>
  <si>
    <t>GUARDRAILS</t>
  </si>
  <si>
    <t>DECISION</t>
  </si>
  <si>
    <t>Recent comparable orders</t>
  </si>
  <si>
    <t>Current Valmo process</t>
  </si>
  <si>
    <t>Failure-specific intervention</t>
  </si>
  <si>
    <t>RTO treatment vs control</t>
  </si>
  <si>
    <t>₹120 reverse hurdle + intervention cost</t>
  </si>
  <si>
    <t>Rider + CX + speed + operations</t>
  </si>
  <si>
    <t>Scale only if all gates pass</t>
  </si>
  <si>
    <t>Same eligible segment and order mix</t>
  </si>
  <si>
    <t>Randomised within eligible pool</t>
  </si>
  <si>
    <t>Reason-specific treatment</t>
  </si>
  <si>
    <t>Modify or stop if any hard gate fails</t>
  </si>
  <si>
    <t>B. TESTING TRACKS | DO NOT RUN ONE GIANT PILOT</t>
  </si>
  <si>
    <t>URBAN</t>
  </si>
  <si>
    <t>Key question</t>
  </si>
  <si>
    <t>RURAL</t>
  </si>
  <si>
    <t>RIDER</t>
  </si>
  <si>
    <t>RECOVERY</t>
  </si>
  <si>
    <t>Customer unavailability</t>
  </si>
  <si>
    <t>Normal NDR</t>
  </si>
  <si>
    <t>Appointment reattempt</t>
  </si>
  <si>
    <t>Does a committed slot improve delivery?</t>
  </si>
  <si>
    <t>Intent + reachability</t>
  </si>
  <si>
    <t>Does confirming intent reduce avoidable RTO?</t>
  </si>
  <si>
    <t>Difficulty-adjusted incentive</t>
  </si>
  <si>
    <t>Does incentive improve success without payout leakage?</t>
  </si>
  <si>
    <t>Local recovery</t>
  </si>
  <si>
    <t>Key question: does local recovery create positive net value?</t>
  </si>
  <si>
    <t>C. TARGET PILOT POOL + RANDOMISATION</t>
  </si>
  <si>
    <t>Why</t>
  </si>
  <si>
    <t>Randomisation</t>
  </si>
  <si>
    <t>Key measure</t>
  </si>
  <si>
    <t>Control integrity</t>
  </si>
  <si>
    <t>Clean causal test</t>
  </si>
  <si>
    <t>Order-level</t>
  </si>
  <si>
    <t>Matched order mix</t>
  </si>
  <si>
    <t>COD, high-risk signals</t>
  </si>
  <si>
    <t>Low-risk prepaid</t>
  </si>
  <si>
    <t>Higher RTO signal density</t>
  </si>
  <si>
    <t>Within eligible pool</t>
  </si>
  <si>
    <t>Matched geography</t>
  </si>
  <si>
    <t>High RTO / difficult</t>
  </si>
  <si>
    <t>Distance, pincode, category</t>
  </si>
  <si>
    <t>Focus on economic opportunity</t>
  </si>
  <si>
    <t>Within segment</t>
  </si>
  <si>
    <t>Matched difficulty</t>
  </si>
  <si>
    <t>Unknown cause</t>
  </si>
  <si>
    <t>Match treatment to cause</t>
  </si>
  <si>
    <t>Within reason</t>
  </si>
  <si>
    <t>Cause-specific uplift</t>
  </si>
  <si>
    <t>Same failure taxonomy</t>
  </si>
  <si>
    <t>Rider / recovery</t>
  </si>
  <si>
    <t>Eligible rider clusters or parcels</t>
  </si>
  <si>
    <t>Non-eligible</t>
  </si>
  <si>
    <t>Avoid spillover</t>
  </si>
  <si>
    <t>Cluster / parcel randomisation</t>
  </si>
  <si>
    <t>Rider or parcel</t>
  </si>
  <si>
    <t>Quality + net value</t>
  </si>
  <si>
    <t>Matched partner / inventory</t>
  </si>
  <si>
    <t>D. NORTH STAR KPI FRAMEWORK</t>
  </si>
  <si>
    <t>NORTH STAR</t>
  </si>
  <si>
    <t>CUSTOMER KPIs</t>
  </si>
  <si>
    <t>RIDER KPIs</t>
  </si>
  <si>
    <t>NETWORK KPIs</t>
  </si>
  <si>
    <t>RECOVERY KPIs</t>
  </si>
  <si>
    <t>Definition</t>
  </si>
  <si>
    <t>₹ COST / SUCCESSFUL DELIVERED ORDER</t>
  </si>
  <si>
    <t>Address correction rate</t>
  </si>
  <si>
    <t>₹ reverse cost avoided</t>
  </si>
  <si>
    <t>Acceptance / productivity</t>
  </si>
  <si>
    <t>Distance / route efficiency</t>
  </si>
  <si>
    <t>Second-RTO ÷ recovered parcels</t>
  </si>
  <si>
    <t>↑ / ↓</t>
  </si>
  <si>
    <t>Product / Ops</t>
  </si>
  <si>
    <t>CSAT / complaints</t>
  </si>
  <si>
    <t>Rider complaints</t>
  </si>
  <si>
    <t>Cost / successful order</t>
  </si>
  <si>
    <t>Holding / damage loss</t>
  </si>
  <si>
    <t>Stakeholder protection metrics</t>
  </si>
  <si>
    <t>Mixed</t>
  </si>
  <si>
    <t>CX / Partner Ops</t>
  </si>
  <si>
    <t>E. 30 TO 60 TO 90 DAY ROADMAP</t>
  </si>
  <si>
    <t>0 TO 30 DAYS | PROVE</t>
  </si>
  <si>
    <t>31 TO 60 DAYS | OPTIMISE</t>
  </si>
  <si>
    <t>61 TO 90 DAYS | SCALE / MODIFY / STOP</t>
  </si>
  <si>
    <t>Pilot decision</t>
  </si>
  <si>
    <t>Run controlled pilots
Focus on first-NDR COD-heavy
Build failure reason taxonomy
Instrument calls, GPS, attempt quality
Measure intervention economics</t>
  </si>
  <si>
    <t>Refine targeting by segment
Check LMDC fit and partner coordination
Add difficulty-adjusted rider economics
Verified attempt protocol
Test selected recovery nodes
Slice by cause, distance and pincode</t>
  </si>
  <si>
    <t>Integrate winning logic into allocation and workflows
Expand by proven category / geography / partner cluster
Scale rider incentive to eligible segments
Scale recovery selectively
Validate operational complexity</t>
  </si>
  <si>
    <t>PROVE contribution
Then OPTIMISE fit
Then SCALE only where gates hold</t>
  </si>
  <si>
    <t>Evidence: RTO lift, cost / RTO avoided, rider/CX/SLA protection</t>
  </si>
  <si>
    <t>Evidence: segment economics, recovery conversion, partner fit</t>
  </si>
  <si>
    <t>Evidence: repeatable contribution + guardrails</t>
  </si>
  <si>
    <t>Decision: continue, modify or stop</t>
  </si>
  <si>
    <t>Question: does the intervention create positive economics?</t>
  </si>
  <si>
    <t>Question: where does it actually work?</t>
  </si>
  <si>
    <t>Question: can it survive real operations?</t>
  </si>
  <si>
    <t>F. SCALE GATE | ALL MUST HOLD</t>
  </si>
  <si>
    <t>Stop / modify trigger</t>
  </si>
  <si>
    <t>₹ / productive hour ≥ baseline</t>
  </si>
  <si>
    <t>Complaints / CSAT not materially worse</t>
  </si>
  <si>
    <t>TAT / SLA not materially worse</t>
  </si>
  <si>
    <t>Wrong-hub, distance and cost stable or better</t>
  </si>
  <si>
    <t>Positive recovery economics</t>
  </si>
  <si>
    <t>Any gate fails</t>
  </si>
  <si>
    <t>Relevant owner</t>
  </si>
  <si>
    <t>Control group required</t>
  </si>
  <si>
    <t>No payout leakage</t>
  </si>
  <si>
    <t>No intervention fatigue</t>
  </si>
  <si>
    <t>No hidden service degradation</t>
  </si>
  <si>
    <t>No material complexity, fraud or damage</t>
  </si>
  <si>
    <t>Second-RTO controlled</t>
  </si>
  <si>
    <t>MODIFY or STOP</t>
  </si>
  <si>
    <t>Scale only after measured evidence</t>
  </si>
  <si>
    <t>G. RICE PRIORITISATION</t>
  </si>
  <si>
    <t>H. CONTINUOUS IMPROVEMENT LOOP</t>
  </si>
  <si>
    <t>TEST</t>
  </si>
  <si>
    <t>LEARN</t>
  </si>
  <si>
    <t>REFINE</t>
  </si>
  <si>
    <t>PROVE ECONOMICS</t>
  </si>
  <si>
    <t>SCALE</t>
  </si>
  <si>
    <t>STOP / MODIFY</t>
  </si>
  <si>
    <t>Randomised pilot</t>
  </si>
  <si>
    <t>Measure segment results</t>
  </si>
  <si>
    <t>Adjust targeting and intervention</t>
  </si>
  <si>
    <t>Check north star + all gates</t>
  </si>
  <si>
    <t>Integrate winning segments</t>
  </si>
  <si>
    <t>Modify or stop if any gate fails</t>
  </si>
  <si>
    <t>KEY TAKEAWAY: RTO REDUCTION IS NOT ENOUGH. SCALE ONLY WHEN EACH ₹ SPENT CREATES MORE THAN ₹1 OF AVOIDED RTO OR FAILURE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</si>
</sst>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₹#,##0;[Red]\(\₹#,##0\);\-"/>
    <numFmt numFmtId="166" formatCode="#,##0;[Red]\(#,##0\);\-"/>
    <numFmt numFmtId="167" formatCode="\₹#,##0.00;[Red]\(\₹#,##0.00\);\-"/>
    <numFmt numFmtId="168" formatCode="#,##0.00;[Red]\(#,##0.00\);\-"/>
    <numFmt numFmtId="169" formatCode="0.0"/>
  </numFmts>
  <fonts count="12">
    <font>
      <sz val="11"/>
      <name val="Carlito"/>
    </font>
    <font>
      <b/>
      <sz val="18"/>
      <color rgb="FF4B0B4F"/>
      <name val="Carlito"/>
    </font>
    <font>
      <i/>
      <sz val="9"/>
      <color rgb="FF5E6472"/>
      <name val="Carlito"/>
    </font>
    <font>
      <b/>
      <sz val="11"/>
      <color rgb="FFFFFFFF"/>
      <name val="Carlito"/>
    </font>
    <font>
      <b/>
      <sz val="9"/>
      <color rgb="FF1F2440"/>
      <name val="Carlito"/>
    </font>
    <font>
      <sz val="9"/>
      <color rgb="FF1F2440"/>
      <name val="Carlito"/>
    </font>
    <font>
      <sz val="9"/>
      <color rgb="FF0000FF"/>
      <name val="Carlito"/>
    </font>
    <font>
      <sz val="9"/>
      <color rgb="FF000000"/>
      <name val="Carlito"/>
    </font>
    <font>
      <sz val="9"/>
      <color rgb="FF008000"/>
      <name val="Carlito"/>
    </font>
    <font>
      <b/>
      <sz val="12"/>
      <color rgb="FF159A6A"/>
      <name val="Carlito"/>
    </font>
    <font>
      <b/>
      <sz val="16"/>
      <color rgb="FFFFFFFF"/>
      <name val="Carlito"/>
    </font>
    <font>
      <b/>
      <sz val="9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B0B4F"/>
      </patternFill>
    </fill>
    <fill>
      <patternFill patternType="solid">
        <fgColor rgb="FFF3E8F5"/>
      </patternFill>
    </fill>
    <fill>
      <patternFill patternType="solid">
        <fgColor rgb="FFE8F7F0"/>
      </patternFill>
    </fill>
    <fill>
      <patternFill patternType="solid">
        <fgColor rgb="FFEAF3FB"/>
      </patternFill>
    </fill>
    <fill>
      <patternFill patternType="solid">
        <fgColor rgb="FFFFF2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 applyAlignment="1">
      <alignment vertical="center" wrapText="1"/>
    </xf>
    <xf numFmtId="164" fontId="6" fillId="2" borderId="0" xfId="0" applyNumberFormat="1" applyFont="1" applyFill="1" applyBorder="1" applyAlignment="1">
      <alignment vertical="center" wrapText="1"/>
    </xf>
    <xf numFmtId="165" fontId="6" fillId="2" borderId="0" xfId="0" applyNumberFormat="1" applyFont="1" applyFill="1" applyBorder="1" applyAlignment="1">
      <alignment vertical="center" wrapText="1"/>
    </xf>
    <xf numFmtId="165" fontId="7" fillId="2" borderId="0" xfId="0" applyNumberFormat="1" applyFont="1" applyFill="1" applyBorder="1" applyAlignment="1">
      <alignment vertical="center" wrapText="1"/>
    </xf>
    <xf numFmtId="166" fontId="6" fillId="2" borderId="0" xfId="0" applyNumberFormat="1" applyFont="1" applyFill="1" applyBorder="1" applyAlignment="1">
      <alignment vertical="center" wrapText="1"/>
    </xf>
    <xf numFmtId="167" fontId="6" fillId="2" borderId="0" xfId="0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vertical="center" wrapText="1"/>
    </xf>
    <xf numFmtId="167" fontId="7" fillId="2" borderId="0" xfId="0" applyNumberFormat="1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vertical="center" wrapText="1"/>
    </xf>
    <xf numFmtId="167" fontId="8" fillId="2" borderId="0" xfId="0" applyNumberFormat="1" applyFont="1" applyFill="1" applyBorder="1" applyAlignment="1">
      <alignment vertical="center" wrapText="1"/>
    </xf>
    <xf numFmtId="166" fontId="7" fillId="2" borderId="0" xfId="0" applyNumberFormat="1" applyFont="1" applyFill="1" applyBorder="1" applyAlignment="1">
      <alignment vertical="center" wrapText="1"/>
    </xf>
    <xf numFmtId="165" fontId="5" fillId="2" borderId="0" xfId="0" applyNumberFormat="1" applyFont="1" applyFill="1" applyBorder="1" applyAlignment="1">
      <alignment vertical="center" wrapText="1"/>
    </xf>
    <xf numFmtId="166" fontId="8" fillId="2" borderId="0" xfId="0" applyNumberFormat="1" applyFont="1" applyFill="1" applyBorder="1" applyAlignment="1">
      <alignment vertical="center" wrapText="1"/>
    </xf>
    <xf numFmtId="165" fontId="8" fillId="2" borderId="0" xfId="0" applyNumberFormat="1" applyFont="1" applyFill="1" applyBorder="1" applyAlignment="1">
      <alignment vertical="center" wrapText="1"/>
    </xf>
    <xf numFmtId="165" fontId="9" fillId="5" borderId="0" xfId="0" applyNumberFormat="1" applyFont="1" applyFill="1" applyBorder="1" applyAlignment="1">
      <alignment vertical="center" wrapText="1"/>
    </xf>
    <xf numFmtId="168" fontId="6" fillId="2" borderId="0" xfId="0" applyNumberFormat="1" applyFont="1" applyFill="1" applyBorder="1" applyAlignment="1">
      <alignment vertical="center" wrapText="1"/>
    </xf>
    <xf numFmtId="168" fontId="5" fillId="2" borderId="0" xfId="0" applyNumberFormat="1" applyFont="1" applyFill="1" applyBorder="1" applyAlignment="1">
      <alignment vertical="center" wrapText="1"/>
    </xf>
    <xf numFmtId="167" fontId="7" fillId="5" borderId="0" xfId="0" applyNumberFormat="1" applyFont="1" applyFill="1" applyBorder="1" applyAlignment="1">
      <alignment vertical="center" wrapText="1"/>
    </xf>
    <xf numFmtId="169" fontId="7" fillId="2" borderId="0" xfId="0" applyNumberFormat="1" applyFont="1" applyFill="1" applyBorder="1" applyAlignment="1">
      <alignment vertical="center" wrapText="1"/>
    </xf>
    <xf numFmtId="1" fontId="7" fillId="2" borderId="0" xfId="0" applyNumberFormat="1" applyFont="1" applyFill="1" applyBorder="1" applyAlignment="1">
      <alignment vertical="center" wrapText="1"/>
    </xf>
    <xf numFmtId="0" fontId="4" fillId="6" borderId="0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11" fillId="3" borderId="0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center" vertical="center"/>
    </xf>
    <xf numFmtId="0" fontId="10" fillId="3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D92D20"/>
      </font>
      <fill>
        <patternFill patternType="solid">
          <bgColor rgb="FFFCEAEA"/>
        </patternFill>
      </fill>
    </dxf>
    <dxf>
      <font>
        <b/>
        <color rgb="FF159A6A"/>
      </font>
      <fill>
        <patternFill patternType="solid">
          <bgColor rgb="FFE8F7F0"/>
        </patternFill>
      </fill>
    </dxf>
    <dxf>
      <font>
        <b/>
        <color rgb="FFD92D20"/>
      </font>
      <fill>
        <patternFill patternType="solid">
          <bgColor rgb="FFFCEAEA"/>
        </patternFill>
      </fill>
    </dxf>
    <dxf>
      <font>
        <b/>
        <color rgb="FF159A6A"/>
      </font>
      <fill>
        <patternFill patternType="solid">
          <bgColor rgb="FFE8F7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RTO rate and cost per successful order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VS</c:v>
          </c:tx>
          <c:marker>
            <c:symbol val="none"/>
          </c:marker>
          <c:cat>
            <c:strRef>
              <c:f>Slide10_Dashboard!$B$7:$B$10</c:f>
              <c:strCache>
                <c:ptCount val="2"/>
                <c:pt idx="0">
                  <c:v>Current Valmo process</c:v>
                </c:pt>
                <c:pt idx="1">
                  <c:v>Randomised within eligible pool</c:v>
                </c:pt>
              </c:strCache>
            </c:strRef>
          </c:cat>
          <c:val>
            <c:numRef>
              <c:f>Slide10_Dashboard!$C$7:$C$10</c:f>
              <c:numCache>
                <c:formatCode>General</c:formatCode>
                <c:ptCount val="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D-4C45-95B0-9728D57B6327}"/>
            </c:ext>
          </c:extLst>
        </c:ser>
        <c:ser>
          <c:idx val="1"/>
          <c:order val="1"/>
          <c:tx>
            <c:v>TREATMENT</c:v>
          </c:tx>
          <c:marker>
            <c:symbol val="none"/>
          </c:marker>
          <c:cat>
            <c:strRef>
              <c:f>Slide10_Dashboard!$B$7:$B$10</c:f>
              <c:strCache>
                <c:ptCount val="2"/>
                <c:pt idx="0">
                  <c:v>Current Valmo process</c:v>
                </c:pt>
                <c:pt idx="1">
                  <c:v>Randomised within eligible pool</c:v>
                </c:pt>
              </c:strCache>
            </c:strRef>
          </c:cat>
          <c:val>
            <c:numRef>
              <c:f>Slide10_Dashboard!$D$7:$D$10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1D-4C45-95B0-9728D57B6327}"/>
            </c:ext>
          </c:extLst>
        </c:ser>
        <c:ser>
          <c:idx val="2"/>
          <c:order val="2"/>
          <c:tx>
            <c:v>INCREMENTAL IMPACT</c:v>
          </c:tx>
          <c:marker>
            <c:symbol val="none"/>
          </c:marker>
          <c:cat>
            <c:strRef>
              <c:f>Slide10_Dashboard!$B$7:$B$10</c:f>
              <c:strCache>
                <c:ptCount val="2"/>
                <c:pt idx="0">
                  <c:v>Current Valmo process</c:v>
                </c:pt>
                <c:pt idx="1">
                  <c:v>Randomised within eligible pool</c:v>
                </c:pt>
              </c:strCache>
            </c:strRef>
          </c:cat>
          <c:val>
            <c:numRef>
              <c:f>Slide10_Dashboard!$E$7:$E$10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C1D-4C45-95B0-9728D57B6327}"/>
            </c:ext>
          </c:extLst>
        </c:ser>
        <c:ser>
          <c:idx val="3"/>
          <c:order val="3"/>
          <c:tx>
            <c:v>ECONOMIC VALUE</c:v>
          </c:tx>
          <c:marker>
            <c:symbol val="none"/>
          </c:marker>
          <c:cat>
            <c:strRef>
              <c:f>Slide10_Dashboard!$B$7:$B$10</c:f>
              <c:strCache>
                <c:ptCount val="2"/>
                <c:pt idx="0">
                  <c:v>Current Valmo process</c:v>
                </c:pt>
                <c:pt idx="1">
                  <c:v>Randomised within eligible pool</c:v>
                </c:pt>
              </c:strCache>
            </c:strRef>
          </c:cat>
          <c:val>
            <c:numRef>
              <c:f>Slide10_Dashboard!$F$7:$F$10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C1D-4C45-95B0-9728D57B6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44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sqref="A1:H1"/>
    </sheetView>
  </sheetViews>
  <sheetFormatPr defaultRowHeight="14.25"/>
  <cols>
    <col min="1" max="1" width="34" customWidth="1"/>
    <col min="2" max="2" width="16" customWidth="1"/>
    <col min="3" max="4" width="18" customWidth="1"/>
    <col min="5" max="5" width="20" customWidth="1"/>
    <col min="6" max="6" width="34" customWidth="1"/>
    <col min="7" max="7" width="12" customWidth="1"/>
    <col min="8" max="8" width="32" customWidth="1"/>
  </cols>
  <sheetData>
    <row r="1" spans="1:8" ht="26.1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>
      <c r="A2" s="29" t="s">
        <v>1</v>
      </c>
      <c r="B2" s="29"/>
      <c r="C2" s="29"/>
      <c r="D2" s="29"/>
      <c r="E2" s="29"/>
      <c r="F2" s="29"/>
      <c r="G2" s="29"/>
      <c r="H2" s="29"/>
    </row>
    <row r="4" spans="1:8" ht="21.95" customHeight="1">
      <c r="A4" s="30" t="s">
        <v>2</v>
      </c>
      <c r="B4" s="30"/>
      <c r="C4" s="30"/>
      <c r="D4" s="30"/>
      <c r="E4" s="30"/>
      <c r="F4" s="30"/>
      <c r="G4" s="30"/>
      <c r="H4" s="30"/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2" t="s">
        <v>11</v>
      </c>
      <c r="B6" s="5">
        <v>0.17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</row>
    <row r="7" spans="1:8">
      <c r="A7" s="2" t="s">
        <v>18</v>
      </c>
      <c r="B7" s="5">
        <v>0.8</v>
      </c>
      <c r="C7" s="2" t="s">
        <v>19</v>
      </c>
      <c r="D7" s="2" t="s">
        <v>13</v>
      </c>
      <c r="E7" s="2" t="s">
        <v>14</v>
      </c>
      <c r="F7" s="2" t="s">
        <v>20</v>
      </c>
      <c r="G7" s="2" t="s">
        <v>16</v>
      </c>
      <c r="H7" s="2" t="s">
        <v>17</v>
      </c>
    </row>
    <row r="8" spans="1:8">
      <c r="A8" s="2" t="s">
        <v>21</v>
      </c>
      <c r="B8" s="5">
        <v>0.2</v>
      </c>
      <c r="C8" s="2" t="s">
        <v>22</v>
      </c>
      <c r="D8" s="2" t="s">
        <v>13</v>
      </c>
      <c r="E8" s="2" t="s">
        <v>14</v>
      </c>
      <c r="F8" s="2" t="s">
        <v>20</v>
      </c>
      <c r="G8" s="2" t="s">
        <v>16</v>
      </c>
      <c r="H8" s="2" t="s">
        <v>17</v>
      </c>
    </row>
    <row r="9" spans="1:8">
      <c r="A9" s="2" t="s">
        <v>23</v>
      </c>
      <c r="B9" s="5">
        <v>0.05</v>
      </c>
      <c r="C9" s="2" t="s">
        <v>24</v>
      </c>
      <c r="D9" s="2" t="s">
        <v>13</v>
      </c>
      <c r="E9" s="2" t="s">
        <v>14</v>
      </c>
      <c r="F9" s="2" t="s">
        <v>20</v>
      </c>
      <c r="G9" s="2" t="s">
        <v>16</v>
      </c>
      <c r="H9" s="2" t="s">
        <v>17</v>
      </c>
    </row>
    <row r="10" spans="1:8">
      <c r="A10" s="2" t="s">
        <v>25</v>
      </c>
      <c r="B10" s="6">
        <v>50</v>
      </c>
      <c r="C10" s="2" t="s">
        <v>26</v>
      </c>
      <c r="D10" s="2" t="s">
        <v>13</v>
      </c>
      <c r="E10" s="2" t="s">
        <v>14</v>
      </c>
      <c r="F10" s="2" t="s">
        <v>27</v>
      </c>
      <c r="G10" s="2" t="s">
        <v>16</v>
      </c>
      <c r="H10" s="2" t="s">
        <v>28</v>
      </c>
    </row>
    <row r="11" spans="1:8">
      <c r="A11" s="2" t="s">
        <v>29</v>
      </c>
      <c r="B11" s="6">
        <v>120</v>
      </c>
      <c r="C11" s="2" t="s">
        <v>30</v>
      </c>
      <c r="D11" s="2" t="s">
        <v>13</v>
      </c>
      <c r="E11" s="2" t="s">
        <v>14</v>
      </c>
      <c r="F11" s="2" t="s">
        <v>31</v>
      </c>
      <c r="G11" s="2" t="s">
        <v>16</v>
      </c>
      <c r="H11" s="2" t="s">
        <v>28</v>
      </c>
    </row>
    <row r="12" spans="1:8">
      <c r="A12" s="2" t="s">
        <v>32</v>
      </c>
      <c r="B12" s="7">
        <f>B10+B11</f>
        <v>170</v>
      </c>
      <c r="C12" s="2" t="s">
        <v>30</v>
      </c>
      <c r="D12" s="2" t="s">
        <v>33</v>
      </c>
      <c r="E12" s="2" t="s">
        <v>34</v>
      </c>
      <c r="F12" s="2" t="s">
        <v>35</v>
      </c>
      <c r="G12" s="2" t="s">
        <v>16</v>
      </c>
      <c r="H12" s="2" t="s">
        <v>28</v>
      </c>
    </row>
    <row r="13" spans="1:8" ht="36">
      <c r="A13" s="2" t="s">
        <v>36</v>
      </c>
      <c r="B13" s="7">
        <f>(B10+B6*B11)/(1-B6)</f>
        <v>84.819277108433752</v>
      </c>
      <c r="C13" s="2" t="s">
        <v>37</v>
      </c>
      <c r="D13" s="2" t="s">
        <v>33</v>
      </c>
      <c r="E13" s="2" t="s">
        <v>38</v>
      </c>
      <c r="F13" s="2" t="s">
        <v>39</v>
      </c>
      <c r="G13" s="2" t="s">
        <v>16</v>
      </c>
      <c r="H13" s="2" t="s">
        <v>28</v>
      </c>
    </row>
    <row r="14" spans="1:8" ht="24">
      <c r="A14" s="2" t="s">
        <v>40</v>
      </c>
      <c r="B14" s="8">
        <v>1000000</v>
      </c>
      <c r="C14" s="2" t="s">
        <v>41</v>
      </c>
      <c r="D14" s="2" t="s">
        <v>42</v>
      </c>
      <c r="E14" s="2" t="s">
        <v>43</v>
      </c>
      <c r="F14" s="2" t="s">
        <v>44</v>
      </c>
      <c r="G14" s="2" t="s">
        <v>45</v>
      </c>
      <c r="H14" s="2" t="s">
        <v>46</v>
      </c>
    </row>
    <row r="15" spans="1:8">
      <c r="A15" s="2" t="s">
        <v>47</v>
      </c>
      <c r="B15" s="8">
        <v>12</v>
      </c>
      <c r="C15" s="2" t="s">
        <v>48</v>
      </c>
      <c r="D15" s="2" t="s">
        <v>49</v>
      </c>
      <c r="E15" s="2" t="s">
        <v>50</v>
      </c>
      <c r="F15" s="2" t="s">
        <v>51</v>
      </c>
      <c r="G15" s="2" t="s">
        <v>16</v>
      </c>
      <c r="H15" s="2" t="s">
        <v>46</v>
      </c>
    </row>
    <row r="17" spans="1:8" ht="21.95" customHeight="1">
      <c r="A17" s="30" t="s">
        <v>52</v>
      </c>
      <c r="B17" s="30"/>
      <c r="C17" s="30"/>
      <c r="D17" s="30"/>
      <c r="E17" s="30"/>
      <c r="F17" s="30"/>
      <c r="G17" s="30"/>
      <c r="H17" s="30"/>
    </row>
    <row r="18" spans="1:8">
      <c r="A18" s="1" t="s">
        <v>3</v>
      </c>
      <c r="B18" s="1" t="s">
        <v>4</v>
      </c>
      <c r="C18" s="1" t="s">
        <v>5</v>
      </c>
      <c r="D18" s="1" t="s">
        <v>53</v>
      </c>
      <c r="E18" s="1" t="s">
        <v>54</v>
      </c>
      <c r="F18" s="1" t="s">
        <v>7</v>
      </c>
      <c r="G18" s="1" t="s">
        <v>9</v>
      </c>
      <c r="H18" s="1" t="s">
        <v>55</v>
      </c>
    </row>
    <row r="19" spans="1:8" ht="24">
      <c r="A19" s="2" t="s">
        <v>56</v>
      </c>
      <c r="B19" s="5">
        <v>0.01</v>
      </c>
      <c r="C19" s="2" t="s">
        <v>57</v>
      </c>
      <c r="D19" s="2" t="s">
        <v>58</v>
      </c>
      <c r="E19" s="2" t="s">
        <v>59</v>
      </c>
      <c r="F19" s="2" t="s">
        <v>60</v>
      </c>
      <c r="G19" s="2" t="s">
        <v>45</v>
      </c>
      <c r="H19" s="2" t="s">
        <v>61</v>
      </c>
    </row>
    <row r="20" spans="1:8">
      <c r="A20" s="2" t="s">
        <v>62</v>
      </c>
      <c r="B20" s="5">
        <v>2.5000000000000001E-2</v>
      </c>
      <c r="C20" s="2" t="s">
        <v>57</v>
      </c>
      <c r="D20" s="2" t="s">
        <v>63</v>
      </c>
      <c r="E20" s="2" t="s">
        <v>59</v>
      </c>
      <c r="F20" s="2" t="s">
        <v>60</v>
      </c>
      <c r="G20" s="2" t="s">
        <v>45</v>
      </c>
      <c r="H20" s="2" t="s">
        <v>64</v>
      </c>
    </row>
    <row r="21" spans="1:8">
      <c r="A21" s="2" t="s">
        <v>65</v>
      </c>
      <c r="B21" s="5">
        <v>0.04</v>
      </c>
      <c r="C21" s="2" t="s">
        <v>57</v>
      </c>
      <c r="D21" s="2" t="s">
        <v>66</v>
      </c>
      <c r="E21" s="2" t="s">
        <v>59</v>
      </c>
      <c r="F21" s="2" t="s">
        <v>60</v>
      </c>
      <c r="G21" s="2" t="s">
        <v>45</v>
      </c>
      <c r="H21" s="2" t="s">
        <v>67</v>
      </c>
    </row>
    <row r="22" spans="1:8">
      <c r="A22" s="2" t="s">
        <v>68</v>
      </c>
      <c r="B22" s="5">
        <v>0.05</v>
      </c>
      <c r="C22" s="2" t="s">
        <v>57</v>
      </c>
      <c r="D22" s="2" t="s">
        <v>69</v>
      </c>
      <c r="E22" s="2" t="s">
        <v>59</v>
      </c>
      <c r="F22" s="2" t="s">
        <v>60</v>
      </c>
      <c r="G22" s="2" t="s">
        <v>45</v>
      </c>
      <c r="H22" s="2" t="s">
        <v>70</v>
      </c>
    </row>
    <row r="23" spans="1:8">
      <c r="A23" s="2" t="s">
        <v>71</v>
      </c>
      <c r="B23" s="9">
        <v>0.5</v>
      </c>
      <c r="C23" s="2" t="s">
        <v>72</v>
      </c>
      <c r="D23" s="2" t="s">
        <v>73</v>
      </c>
      <c r="E23" s="2" t="s">
        <v>59</v>
      </c>
      <c r="F23" s="2" t="s">
        <v>60</v>
      </c>
      <c r="G23" s="2" t="s">
        <v>45</v>
      </c>
      <c r="H23" s="2" t="s">
        <v>74</v>
      </c>
    </row>
    <row r="24" spans="1:8">
      <c r="A24" s="2" t="s">
        <v>75</v>
      </c>
      <c r="B24" s="9">
        <v>0.75</v>
      </c>
      <c r="C24" s="2" t="s">
        <v>72</v>
      </c>
      <c r="D24" s="2" t="s">
        <v>73</v>
      </c>
      <c r="E24" s="2" t="s">
        <v>59</v>
      </c>
      <c r="F24" s="2" t="s">
        <v>60</v>
      </c>
      <c r="G24" s="2" t="s">
        <v>45</v>
      </c>
      <c r="H24" s="2" t="s">
        <v>74</v>
      </c>
    </row>
    <row r="25" spans="1:8">
      <c r="A25" s="2" t="s">
        <v>76</v>
      </c>
      <c r="B25" s="9">
        <v>1</v>
      </c>
      <c r="C25" s="2" t="s">
        <v>72</v>
      </c>
      <c r="D25" s="2" t="s">
        <v>73</v>
      </c>
      <c r="E25" s="2" t="s">
        <v>59</v>
      </c>
      <c r="F25" s="2" t="s">
        <v>60</v>
      </c>
      <c r="G25" s="2" t="s">
        <v>45</v>
      </c>
      <c r="H25" s="2" t="s">
        <v>74</v>
      </c>
    </row>
    <row r="26" spans="1:8">
      <c r="A26" s="2" t="s">
        <v>77</v>
      </c>
      <c r="B26" s="9">
        <v>1.25</v>
      </c>
      <c r="C26" s="2" t="s">
        <v>72</v>
      </c>
      <c r="D26" s="2" t="s">
        <v>73</v>
      </c>
      <c r="E26" s="2" t="s">
        <v>59</v>
      </c>
      <c r="F26" s="2" t="s">
        <v>60</v>
      </c>
      <c r="G26" s="2" t="s">
        <v>45</v>
      </c>
      <c r="H26" s="2" t="s">
        <v>74</v>
      </c>
    </row>
    <row r="27" spans="1:8">
      <c r="A27" s="2" t="s">
        <v>78</v>
      </c>
      <c r="B27" s="9">
        <v>5</v>
      </c>
      <c r="C27" s="2" t="s">
        <v>79</v>
      </c>
      <c r="D27" s="2" t="s">
        <v>80</v>
      </c>
      <c r="E27" s="2" t="s">
        <v>59</v>
      </c>
      <c r="F27" s="2" t="s">
        <v>81</v>
      </c>
      <c r="G27" s="2" t="s">
        <v>45</v>
      </c>
      <c r="H27" s="2" t="s">
        <v>82</v>
      </c>
    </row>
    <row r="28" spans="1:8">
      <c r="A28" s="2" t="s">
        <v>83</v>
      </c>
      <c r="B28" s="5">
        <v>10000</v>
      </c>
      <c r="C28" s="2" t="s">
        <v>41</v>
      </c>
      <c r="D28" s="2" t="s">
        <v>80</v>
      </c>
      <c r="E28" s="2" t="s">
        <v>59</v>
      </c>
      <c r="F28" s="2" t="s">
        <v>81</v>
      </c>
      <c r="G28" s="2" t="s">
        <v>45</v>
      </c>
      <c r="H28" s="2" t="s">
        <v>84</v>
      </c>
    </row>
    <row r="29" spans="1:8">
      <c r="A29" s="2" t="s">
        <v>85</v>
      </c>
      <c r="B29" s="8">
        <v>0.06</v>
      </c>
      <c r="C29" s="2" t="s">
        <v>12</v>
      </c>
      <c r="D29" s="2" t="s">
        <v>80</v>
      </c>
      <c r="E29" s="2" t="s">
        <v>59</v>
      </c>
      <c r="F29" s="2" t="s">
        <v>81</v>
      </c>
      <c r="G29" s="2" t="s">
        <v>45</v>
      </c>
      <c r="H29" s="2" t="s">
        <v>86</v>
      </c>
    </row>
    <row r="30" spans="1:8">
      <c r="A30" s="2" t="s">
        <v>87</v>
      </c>
      <c r="B30" s="5">
        <v>20</v>
      </c>
      <c r="C30" s="2" t="s">
        <v>88</v>
      </c>
      <c r="D30" s="2" t="s">
        <v>89</v>
      </c>
      <c r="E30" s="2" t="s">
        <v>59</v>
      </c>
      <c r="F30" s="2" t="s">
        <v>90</v>
      </c>
      <c r="G30" s="2" t="s">
        <v>45</v>
      </c>
      <c r="H30" s="2" t="s">
        <v>91</v>
      </c>
    </row>
    <row r="31" spans="1:8">
      <c r="A31" s="2" t="s">
        <v>92</v>
      </c>
      <c r="B31" s="6">
        <v>15</v>
      </c>
      <c r="C31" s="2" t="s">
        <v>93</v>
      </c>
      <c r="D31" s="2" t="s">
        <v>94</v>
      </c>
      <c r="E31" s="2" t="s">
        <v>59</v>
      </c>
      <c r="F31" s="2" t="s">
        <v>95</v>
      </c>
      <c r="G31" s="2" t="s">
        <v>45</v>
      </c>
      <c r="H31" s="2" t="s">
        <v>96</v>
      </c>
    </row>
  </sheetData>
  <mergeCells count="4">
    <mergeCell ref="A1:H1"/>
    <mergeCell ref="A2:H2"/>
    <mergeCell ref="A4:H4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/>
  </sheetViews>
  <sheetFormatPr defaultRowHeight="14.25"/>
  <cols>
    <col min="1" max="1" width="28" customWidth="1"/>
    <col min="2" max="3" width="34" customWidth="1"/>
    <col min="4" max="4" width="16" customWidth="1"/>
    <col min="5" max="5" width="34" customWidth="1"/>
    <col min="6" max="6" width="30" customWidth="1"/>
    <col min="7" max="7" width="22" customWidth="1"/>
    <col min="8" max="10" width="18" customWidth="1"/>
    <col min="11" max="11" width="20" customWidth="1"/>
    <col min="12" max="12" width="14" customWidth="1"/>
    <col min="13" max="13" width="38" customWidth="1"/>
  </cols>
  <sheetData>
    <row r="1" spans="1:13" ht="26.1" customHeight="1">
      <c r="A1" s="28" t="s">
        <v>97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9" t="s">
        <v>98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spans="1:13" ht="21.95" customHeight="1">
      <c r="A4" s="30" t="s">
        <v>99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>
      <c r="A5" s="1" t="s">
        <v>100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</row>
    <row r="6" spans="1:13" ht="24">
      <c r="A6" s="2" t="s">
        <v>113</v>
      </c>
      <c r="B6" s="3">
        <v>10000</v>
      </c>
      <c r="C6" s="3">
        <v>10000</v>
      </c>
      <c r="D6" s="5">
        <v>0.17</v>
      </c>
      <c r="E6" s="5">
        <v>0.16</v>
      </c>
      <c r="F6" s="10">
        <f>D6-E6</f>
        <v>1.0000000000000009E-2</v>
      </c>
      <c r="G6" s="4">
        <f>B6*F6</f>
        <v>100.00000000000009</v>
      </c>
      <c r="H6" s="7">
        <f>G6*Inputs!$B$11</f>
        <v>12000.000000000011</v>
      </c>
      <c r="I6" s="6">
        <v>50000</v>
      </c>
      <c r="J6" s="7">
        <f>H6-I6</f>
        <v>-37999.999999999985</v>
      </c>
      <c r="K6" s="11">
        <f>I6/G6</f>
        <v>499.99999999999955</v>
      </c>
      <c r="L6" s="4" t="str">
        <f>IF(K6&lt;Inputs!$B$11,"PASS","FAIL")</f>
        <v>FAIL</v>
      </c>
      <c r="M6" s="2" t="s">
        <v>114</v>
      </c>
    </row>
    <row r="7" spans="1:13" ht="24">
      <c r="A7" s="2" t="s">
        <v>115</v>
      </c>
      <c r="B7" s="3">
        <v>10000</v>
      </c>
      <c r="C7" s="3">
        <v>10000</v>
      </c>
      <c r="D7" s="5">
        <v>0.17</v>
      </c>
      <c r="E7" s="5">
        <v>0.14499999999999999</v>
      </c>
      <c r="F7" s="10">
        <f>D7-E7</f>
        <v>2.5000000000000022E-2</v>
      </c>
      <c r="G7" s="4">
        <f>B7*F7</f>
        <v>250.00000000000023</v>
      </c>
      <c r="H7" s="7">
        <f>G7*Inputs!$B$11</f>
        <v>30000.000000000029</v>
      </c>
      <c r="I7" s="6">
        <v>75000</v>
      </c>
      <c r="J7" s="7">
        <f>H7-I7</f>
        <v>-44999.999999999971</v>
      </c>
      <c r="K7" s="11">
        <f>I7/G7</f>
        <v>299.99999999999972</v>
      </c>
      <c r="L7" s="4" t="str">
        <f>IF(K7&lt;Inputs!$B$11,"PASS","FAIL")</f>
        <v>FAIL</v>
      </c>
      <c r="M7" s="2" t="s">
        <v>116</v>
      </c>
    </row>
    <row r="8" spans="1:13" ht="24">
      <c r="A8" s="2" t="s">
        <v>117</v>
      </c>
      <c r="B8" s="3">
        <v>10000</v>
      </c>
      <c r="C8" s="3">
        <v>10000</v>
      </c>
      <c r="D8" s="5">
        <v>0.17</v>
      </c>
      <c r="E8" s="5">
        <v>0.15</v>
      </c>
      <c r="F8" s="10">
        <f>D8-E8</f>
        <v>2.0000000000000018E-2</v>
      </c>
      <c r="G8" s="4">
        <f>B8*F8</f>
        <v>200.00000000000017</v>
      </c>
      <c r="H8" s="7">
        <f>G8*Inputs!$B$11</f>
        <v>24000.000000000022</v>
      </c>
      <c r="I8" s="6">
        <v>75000</v>
      </c>
      <c r="J8" s="7">
        <f>H8-I8</f>
        <v>-50999.999999999978</v>
      </c>
      <c r="K8" s="11">
        <f>I8/G8</f>
        <v>374.99999999999966</v>
      </c>
      <c r="L8" s="4" t="str">
        <f>IF(K8&lt;Inputs!$B$11,"PASS","FAIL")</f>
        <v>FAIL</v>
      </c>
      <c r="M8" s="2" t="s">
        <v>118</v>
      </c>
    </row>
    <row r="9" spans="1:13" ht="24">
      <c r="A9" s="2" t="s">
        <v>119</v>
      </c>
      <c r="B9" s="3">
        <v>10000</v>
      </c>
      <c r="C9" s="3">
        <v>10000</v>
      </c>
      <c r="D9" s="5">
        <v>0.17</v>
      </c>
      <c r="E9" s="5">
        <v>0.12</v>
      </c>
      <c r="F9" s="10">
        <f>D9-E9</f>
        <v>5.0000000000000017E-2</v>
      </c>
      <c r="G9" s="4">
        <f>B9*F9</f>
        <v>500.00000000000017</v>
      </c>
      <c r="H9" s="7">
        <f>G9*Inputs!$B$11</f>
        <v>60000.000000000022</v>
      </c>
      <c r="I9" s="6">
        <v>150000</v>
      </c>
      <c r="J9" s="7">
        <f>H9-I9</f>
        <v>-89999.999999999971</v>
      </c>
      <c r="K9" s="11">
        <f>I9/G9</f>
        <v>299.99999999999989</v>
      </c>
      <c r="L9" s="4" t="str">
        <f>IF(K9&lt;Inputs!$B$11,"PASS","FAIL")</f>
        <v>FAIL</v>
      </c>
      <c r="M9" s="2" t="s">
        <v>120</v>
      </c>
    </row>
    <row r="11" spans="1:13" ht="21.95" customHeight="1">
      <c r="A11" s="30" t="s">
        <v>121</v>
      </c>
      <c r="B11" s="30"/>
      <c r="C11" s="30"/>
      <c r="D11" s="30"/>
      <c r="E11" s="30"/>
      <c r="F11" s="30"/>
      <c r="G11" s="30"/>
      <c r="H11" s="30"/>
    </row>
    <row r="12" spans="1:13">
      <c r="A12" s="1" t="s">
        <v>122</v>
      </c>
      <c r="B12" s="1" t="s">
        <v>123</v>
      </c>
      <c r="C12" s="1" t="s">
        <v>80</v>
      </c>
      <c r="D12" s="1" t="s">
        <v>5</v>
      </c>
      <c r="E12" s="1" t="s">
        <v>124</v>
      </c>
      <c r="F12" s="1" t="s">
        <v>7</v>
      </c>
      <c r="G12" s="1" t="s">
        <v>125</v>
      </c>
      <c r="H12" s="1" t="s">
        <v>10</v>
      </c>
    </row>
    <row r="13" spans="1:13" ht="42" customHeight="1">
      <c r="A13" s="2" t="s">
        <v>126</v>
      </c>
      <c r="B13" s="2" t="s">
        <v>127</v>
      </c>
      <c r="C13" s="2" t="s">
        <v>128</v>
      </c>
      <c r="D13" s="2" t="s">
        <v>12</v>
      </c>
      <c r="E13" s="2" t="s">
        <v>129</v>
      </c>
      <c r="F13" s="2" t="s">
        <v>14</v>
      </c>
      <c r="G13" s="2" t="s">
        <v>130</v>
      </c>
      <c r="H13" s="2" t="s">
        <v>17</v>
      </c>
    </row>
    <row r="14" spans="1:13" ht="42" customHeight="1">
      <c r="A14" s="2" t="s">
        <v>105</v>
      </c>
      <c r="B14" s="2" t="s">
        <v>131</v>
      </c>
      <c r="C14" s="2" t="s">
        <v>132</v>
      </c>
      <c r="D14" s="2" t="s">
        <v>57</v>
      </c>
      <c r="E14" s="2" t="s">
        <v>133</v>
      </c>
      <c r="F14" s="2" t="s">
        <v>134</v>
      </c>
      <c r="G14" s="2" t="s">
        <v>135</v>
      </c>
      <c r="H14" s="2" t="s">
        <v>17</v>
      </c>
    </row>
    <row r="15" spans="1:13" ht="42" customHeight="1">
      <c r="A15" s="2" t="s">
        <v>136</v>
      </c>
      <c r="B15" s="2" t="s">
        <v>137</v>
      </c>
      <c r="C15" s="2" t="s">
        <v>138</v>
      </c>
      <c r="D15" s="2" t="s">
        <v>41</v>
      </c>
      <c r="E15" s="2" t="s">
        <v>139</v>
      </c>
      <c r="F15" s="2" t="s">
        <v>33</v>
      </c>
      <c r="G15" s="2" t="s">
        <v>140</v>
      </c>
      <c r="H15" s="2" t="s">
        <v>17</v>
      </c>
    </row>
    <row r="16" spans="1:13" ht="42" customHeight="1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111</v>
      </c>
      <c r="H16" s="2" t="s">
        <v>28</v>
      </c>
    </row>
    <row r="17" spans="1:8" ht="42" customHeight="1">
      <c r="A17" s="2" t="s">
        <v>147</v>
      </c>
      <c r="B17" s="2" t="s">
        <v>148</v>
      </c>
      <c r="C17" s="2" t="s">
        <v>149</v>
      </c>
      <c r="D17" s="2" t="s">
        <v>144</v>
      </c>
      <c r="E17" s="2" t="s">
        <v>150</v>
      </c>
      <c r="F17" s="2" t="s">
        <v>151</v>
      </c>
      <c r="G17" s="2" t="s">
        <v>111</v>
      </c>
      <c r="H17" s="2" t="s">
        <v>28</v>
      </c>
    </row>
    <row r="18" spans="1:8" ht="42" customHeight="1">
      <c r="A18" s="2" t="s">
        <v>109</v>
      </c>
      <c r="B18" s="2" t="s">
        <v>152</v>
      </c>
      <c r="C18" s="2" t="s">
        <v>153</v>
      </c>
      <c r="D18" s="2" t="s">
        <v>144</v>
      </c>
      <c r="E18" s="2" t="s">
        <v>154</v>
      </c>
      <c r="F18" s="2" t="s">
        <v>33</v>
      </c>
      <c r="G18" s="2" t="s">
        <v>111</v>
      </c>
      <c r="H18" s="2" t="s">
        <v>28</v>
      </c>
    </row>
    <row r="19" spans="1:8" ht="42" customHeight="1">
      <c r="A19" s="2" t="s">
        <v>110</v>
      </c>
      <c r="B19" s="2" t="s">
        <v>155</v>
      </c>
      <c r="C19" s="2" t="s">
        <v>156</v>
      </c>
      <c r="D19" s="2" t="s">
        <v>30</v>
      </c>
      <c r="E19" s="2" t="s">
        <v>157</v>
      </c>
      <c r="F19" s="2" t="s">
        <v>158</v>
      </c>
      <c r="G19" s="2" t="s">
        <v>159</v>
      </c>
      <c r="H19" s="2" t="s">
        <v>28</v>
      </c>
    </row>
    <row r="20" spans="1:8" ht="42" customHeight="1">
      <c r="A20" s="2" t="s">
        <v>160</v>
      </c>
      <c r="B20" s="2" t="s">
        <v>161</v>
      </c>
      <c r="C20" s="2" t="s">
        <v>162</v>
      </c>
      <c r="D20" s="2" t="s">
        <v>37</v>
      </c>
      <c r="E20" s="2" t="s">
        <v>163</v>
      </c>
      <c r="F20" s="2" t="s">
        <v>164</v>
      </c>
      <c r="G20" s="2" t="s">
        <v>165</v>
      </c>
      <c r="H20" s="2" t="s">
        <v>166</v>
      </c>
    </row>
  </sheetData>
  <mergeCells count="4">
    <mergeCell ref="A1:M1"/>
    <mergeCell ref="A2:M2"/>
    <mergeCell ref="A4:M4"/>
    <mergeCell ref="A11:H11"/>
  </mergeCells>
  <conditionalFormatting sqref="L6:L9">
    <cfRule type="expression" dxfId="3" priority="1">
      <formula>L6="PASS"</formula>
    </cfRule>
    <cfRule type="expression" dxfId="2" priority="2">
      <formula>L6="FAIL"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4.25"/>
  <cols>
    <col min="1" max="1" width="30" customWidth="1"/>
    <col min="2" max="6" width="18" customWidth="1"/>
    <col min="7" max="7" width="15" customWidth="1"/>
    <col min="8" max="8" width="34" customWidth="1"/>
  </cols>
  <sheetData>
    <row r="1" spans="1:8" ht="26.1" customHeight="1">
      <c r="A1" s="28" t="s">
        <v>167</v>
      </c>
      <c r="B1" s="28"/>
      <c r="C1" s="28"/>
      <c r="D1" s="28"/>
      <c r="E1" s="28"/>
      <c r="F1" s="28"/>
      <c r="G1" s="28"/>
      <c r="H1" s="28"/>
    </row>
    <row r="2" spans="1:8">
      <c r="A2" s="29" t="s">
        <v>168</v>
      </c>
      <c r="B2" s="29"/>
      <c r="C2" s="29"/>
      <c r="D2" s="29"/>
      <c r="E2" s="29"/>
      <c r="F2" s="29"/>
      <c r="G2" s="29"/>
      <c r="H2" s="29"/>
    </row>
    <row r="4" spans="1:8" ht="21.95" customHeight="1">
      <c r="A4" s="30" t="s">
        <v>169</v>
      </c>
      <c r="B4" s="30"/>
      <c r="C4" s="30"/>
      <c r="D4" s="30"/>
      <c r="E4" s="30"/>
      <c r="F4" s="30"/>
      <c r="G4" s="30"/>
      <c r="H4" s="30"/>
    </row>
    <row r="5" spans="1:8">
      <c r="A5" s="1" t="s">
        <v>122</v>
      </c>
      <c r="B5" s="1" t="s">
        <v>170</v>
      </c>
      <c r="C5" s="1" t="s">
        <v>171</v>
      </c>
      <c r="D5" s="1" t="s">
        <v>172</v>
      </c>
      <c r="E5" s="1" t="s">
        <v>173</v>
      </c>
      <c r="F5" s="1" t="s">
        <v>174</v>
      </c>
      <c r="G5" s="1" t="s">
        <v>175</v>
      </c>
      <c r="H5" s="1" t="s">
        <v>176</v>
      </c>
    </row>
    <row r="6" spans="1:8">
      <c r="A6" s="2" t="s">
        <v>126</v>
      </c>
      <c r="B6" s="12">
        <f>Inputs!B6</f>
        <v>0.17</v>
      </c>
      <c r="C6" s="12">
        <f>Inputs!B6-Inputs!B19</f>
        <v>0.16</v>
      </c>
      <c r="D6" s="12">
        <f>Inputs!B6-Inputs!B20</f>
        <v>0.14500000000000002</v>
      </c>
      <c r="E6" s="12">
        <f>Inputs!B6-Inputs!B21</f>
        <v>0.13</v>
      </c>
      <c r="F6" s="12">
        <f>Inputs!B6-Inputs!B22</f>
        <v>0.12000000000000001</v>
      </c>
      <c r="G6" s="2" t="s">
        <v>12</v>
      </c>
      <c r="H6" s="2" t="s">
        <v>177</v>
      </c>
    </row>
    <row r="7" spans="1:8">
      <c r="A7" s="2" t="s">
        <v>178</v>
      </c>
      <c r="B7" s="10">
        <f>1-B6</f>
        <v>0.83</v>
      </c>
      <c r="C7" s="10">
        <f>1-C6</f>
        <v>0.84</v>
      </c>
      <c r="D7" s="10">
        <f>1-D6</f>
        <v>0.85499999999999998</v>
      </c>
      <c r="E7" s="10">
        <f>1-E6</f>
        <v>0.87</v>
      </c>
      <c r="F7" s="10">
        <f>1-F6</f>
        <v>0.88</v>
      </c>
      <c r="G7" s="2" t="s">
        <v>12</v>
      </c>
      <c r="H7" s="2" t="s">
        <v>179</v>
      </c>
    </row>
    <row r="8" spans="1:8">
      <c r="A8" s="2" t="s">
        <v>180</v>
      </c>
      <c r="B8" s="13">
        <f>Inputs!$B$10+B6*Inputs!$B$11</f>
        <v>70.400000000000006</v>
      </c>
      <c r="C8" s="13">
        <f>Inputs!$B$10+C6*Inputs!$B$11</f>
        <v>69.2</v>
      </c>
      <c r="D8" s="13">
        <f>Inputs!$B$10+D6*Inputs!$B$11</f>
        <v>67.400000000000006</v>
      </c>
      <c r="E8" s="13">
        <f>Inputs!$B$10+E6*Inputs!$B$11</f>
        <v>65.599999999999994</v>
      </c>
      <c r="F8" s="13">
        <f>Inputs!$B$10+F6*Inputs!$B$11</f>
        <v>64.400000000000006</v>
      </c>
      <c r="G8" s="2" t="s">
        <v>72</v>
      </c>
      <c r="H8" s="2" t="s">
        <v>177</v>
      </c>
    </row>
    <row r="9" spans="1:8">
      <c r="A9" s="2" t="s">
        <v>181</v>
      </c>
      <c r="B9" s="13">
        <v>0</v>
      </c>
      <c r="C9" s="13">
        <f>Inputs!B23</f>
        <v>0.5</v>
      </c>
      <c r="D9" s="13">
        <f>Inputs!B24</f>
        <v>0.75</v>
      </c>
      <c r="E9" s="13">
        <f>Inputs!B25</f>
        <v>1</v>
      </c>
      <c r="F9" s="13">
        <f>Inputs!B26</f>
        <v>1.25</v>
      </c>
      <c r="G9" s="2" t="s">
        <v>72</v>
      </c>
      <c r="H9" s="2" t="s">
        <v>177</v>
      </c>
    </row>
    <row r="10" spans="1:8">
      <c r="A10" s="2" t="s">
        <v>182</v>
      </c>
      <c r="B10" s="11">
        <f>(B8+B9)/B7</f>
        <v>84.819277108433752</v>
      </c>
      <c r="C10" s="11">
        <f>(C8+C9)/C7</f>
        <v>82.976190476190482</v>
      </c>
      <c r="D10" s="11">
        <f>(D8+D9)/D7</f>
        <v>79.707602339181292</v>
      </c>
      <c r="E10" s="11">
        <f>(E8+E9)/E7</f>
        <v>76.551724137931032</v>
      </c>
      <c r="F10" s="11">
        <f>(F8+F9)/F7</f>
        <v>74.602272727272734</v>
      </c>
      <c r="G10" s="2" t="s">
        <v>37</v>
      </c>
      <c r="H10" s="2" t="s">
        <v>177</v>
      </c>
    </row>
    <row r="11" spans="1:8">
      <c r="A11" s="2" t="s">
        <v>183</v>
      </c>
      <c r="B11" s="4" t="s">
        <v>184</v>
      </c>
      <c r="C11" s="10">
        <f>($B$10-C10)/$B$10</f>
        <v>2.1729572510822647E-2</v>
      </c>
      <c r="D11" s="10">
        <f>($B$10-D10)/$B$10</f>
        <v>6.0265483785220751E-2</v>
      </c>
      <c r="E11" s="10">
        <f>($B$10-E10)/$B$10</f>
        <v>9.7472570532915567E-2</v>
      </c>
      <c r="F11" s="10">
        <f>($B$10-F10)/$B$10</f>
        <v>0.12045615960743812</v>
      </c>
      <c r="G11" s="2" t="s">
        <v>12</v>
      </c>
      <c r="H11" s="2" t="s">
        <v>179</v>
      </c>
    </row>
    <row r="13" spans="1:8" ht="21.95" customHeight="1">
      <c r="A13" s="30" t="s">
        <v>185</v>
      </c>
      <c r="B13" s="30"/>
      <c r="C13" s="30"/>
      <c r="D13" s="30"/>
      <c r="E13" s="30"/>
      <c r="F13" s="30"/>
      <c r="G13" s="30"/>
      <c r="H13" s="30"/>
    </row>
    <row r="14" spans="1:8">
      <c r="A14" s="1" t="s">
        <v>122</v>
      </c>
      <c r="B14" s="1" t="s">
        <v>186</v>
      </c>
      <c r="C14" s="1" t="s">
        <v>187</v>
      </c>
      <c r="D14" s="1" t="s">
        <v>188</v>
      </c>
      <c r="E14" s="1" t="s">
        <v>189</v>
      </c>
      <c r="F14" s="1" t="s">
        <v>190</v>
      </c>
      <c r="G14" s="1" t="s">
        <v>5</v>
      </c>
      <c r="H14" s="1" t="s">
        <v>191</v>
      </c>
    </row>
    <row r="15" spans="1:8">
      <c r="A15" s="2" t="s">
        <v>192</v>
      </c>
      <c r="B15" s="14">
        <f>Inputs!$B$14</f>
        <v>1000000</v>
      </c>
      <c r="C15" s="14">
        <f>Inputs!$B$14</f>
        <v>1000000</v>
      </c>
      <c r="D15" s="14">
        <f>Inputs!$B$14</f>
        <v>1000000</v>
      </c>
      <c r="E15" s="14">
        <f>Inputs!$B$14</f>
        <v>1000000</v>
      </c>
      <c r="F15" s="14">
        <f>SUM(B15:E15)</f>
        <v>4000000</v>
      </c>
      <c r="G15" s="2" t="s">
        <v>41</v>
      </c>
      <c r="H15" s="2" t="s">
        <v>193</v>
      </c>
    </row>
    <row r="16" spans="1:8">
      <c r="A16" s="2" t="s">
        <v>194</v>
      </c>
      <c r="B16" s="10">
        <f>Inputs!B19</f>
        <v>0.01</v>
      </c>
      <c r="C16" s="10">
        <f>Inputs!B20</f>
        <v>2.5000000000000001E-2</v>
      </c>
      <c r="D16" s="10">
        <f>Inputs!B21</f>
        <v>0.04</v>
      </c>
      <c r="E16" s="10">
        <f>Inputs!B22</f>
        <v>0.05</v>
      </c>
      <c r="F16" s="4"/>
      <c r="G16" s="2" t="s">
        <v>57</v>
      </c>
      <c r="H16" s="2" t="s">
        <v>195</v>
      </c>
    </row>
    <row r="17" spans="1:8">
      <c r="A17" s="2" t="s">
        <v>196</v>
      </c>
      <c r="B17" s="7">
        <f>B15*B16*Inputs!$B$11</f>
        <v>1200000</v>
      </c>
      <c r="C17" s="7">
        <f>C15*C16*Inputs!$B$11</f>
        <v>3000000</v>
      </c>
      <c r="D17" s="7">
        <f>D15*D16*Inputs!$B$11</f>
        <v>4800000</v>
      </c>
      <c r="E17" s="7">
        <f>E15*E16*Inputs!$B$11</f>
        <v>6000000</v>
      </c>
      <c r="F17" s="7">
        <f>SUM(B17:E17)</f>
        <v>15000000</v>
      </c>
      <c r="G17" s="2" t="s">
        <v>144</v>
      </c>
      <c r="H17" s="2" t="s">
        <v>197</v>
      </c>
    </row>
    <row r="18" spans="1:8">
      <c r="A18" s="2" t="s">
        <v>147</v>
      </c>
      <c r="B18" s="7">
        <f>B15*1000000*Inputs!B23</f>
        <v>500000000000</v>
      </c>
      <c r="C18" s="7">
        <f>C15*1000000*Inputs!B24</f>
        <v>750000000000</v>
      </c>
      <c r="D18" s="7">
        <f>D15*1000000*Inputs!B25</f>
        <v>1000000000000</v>
      </c>
      <c r="E18" s="7">
        <f>E15*1000000*Inputs!B26</f>
        <v>1250000000000</v>
      </c>
      <c r="F18" s="7">
        <f>SUM(B18:E18)</f>
        <v>3500000000000</v>
      </c>
      <c r="G18" s="2" t="s">
        <v>144</v>
      </c>
      <c r="H18" s="2" t="s">
        <v>198</v>
      </c>
    </row>
    <row r="19" spans="1:8">
      <c r="A19" s="2" t="s">
        <v>199</v>
      </c>
      <c r="B19" s="7">
        <f>B17-B18</f>
        <v>-499998800000</v>
      </c>
      <c r="C19" s="7">
        <f>C17-C18</f>
        <v>-749997000000</v>
      </c>
      <c r="D19" s="7">
        <f>D17-D18</f>
        <v>-999995200000</v>
      </c>
      <c r="E19" s="7">
        <f>E17-E18</f>
        <v>-1249994000000</v>
      </c>
      <c r="F19" s="7">
        <f>SUM(B19:E19)</f>
        <v>-3499985000000</v>
      </c>
      <c r="G19" s="2" t="s">
        <v>144</v>
      </c>
      <c r="H19" s="2" t="s">
        <v>200</v>
      </c>
    </row>
  </sheetData>
  <mergeCells count="4">
    <mergeCell ref="A1:H1"/>
    <mergeCell ref="A2:H2"/>
    <mergeCell ref="A4:H4"/>
    <mergeCell ref="A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defaultRowHeight="14.25"/>
  <cols>
    <col min="1" max="1" width="18" customWidth="1"/>
    <col min="2" max="2" width="14" customWidth="1"/>
    <col min="3" max="3" width="26" customWidth="1"/>
    <col min="4" max="4" width="18" customWidth="1"/>
    <col min="5" max="5" width="24" customWidth="1"/>
    <col min="6" max="6" width="18" customWidth="1"/>
    <col min="7" max="7" width="34" customWidth="1"/>
    <col min="8" max="8" width="24" customWidth="1"/>
  </cols>
  <sheetData>
    <row r="1" spans="1:8" ht="26.1" customHeight="1">
      <c r="A1" s="28" t="s">
        <v>201</v>
      </c>
      <c r="B1" s="28"/>
      <c r="C1" s="28"/>
      <c r="D1" s="28"/>
      <c r="E1" s="28"/>
      <c r="F1" s="28"/>
      <c r="G1" s="28"/>
      <c r="H1" s="28"/>
    </row>
    <row r="2" spans="1:8">
      <c r="A2" s="29" t="s">
        <v>202</v>
      </c>
      <c r="B2" s="29"/>
      <c r="C2" s="29"/>
      <c r="D2" s="29"/>
      <c r="E2" s="29"/>
      <c r="F2" s="29"/>
      <c r="G2" s="29"/>
      <c r="H2" s="29"/>
    </row>
    <row r="4" spans="1:8" ht="21.95" customHeight="1">
      <c r="A4" s="30" t="s">
        <v>203</v>
      </c>
      <c r="B4" s="30"/>
      <c r="C4" s="30"/>
      <c r="D4" s="30"/>
      <c r="E4" s="30"/>
      <c r="F4" s="30"/>
      <c r="G4" s="30"/>
      <c r="H4" s="30"/>
    </row>
    <row r="5" spans="1:8" ht="24">
      <c r="A5" s="1" t="s">
        <v>204</v>
      </c>
      <c r="B5" s="1" t="s">
        <v>205</v>
      </c>
      <c r="C5" s="1" t="s">
        <v>206</v>
      </c>
      <c r="D5" s="1" t="s">
        <v>207</v>
      </c>
      <c r="E5" s="1" t="s">
        <v>82</v>
      </c>
      <c r="F5" s="1" t="s">
        <v>208</v>
      </c>
      <c r="G5" s="1" t="s">
        <v>209</v>
      </c>
      <c r="H5" s="1" t="s">
        <v>210</v>
      </c>
    </row>
    <row r="6" spans="1:8">
      <c r="A6" s="2" t="s">
        <v>211</v>
      </c>
      <c r="B6" s="2" t="s">
        <v>212</v>
      </c>
      <c r="C6" s="6">
        <v>2</v>
      </c>
      <c r="D6" s="15">
        <v>170</v>
      </c>
      <c r="E6" s="10">
        <f t="shared" ref="E6:E12" si="0">C6/D6</f>
        <v>1.1764705882352941E-2</v>
      </c>
      <c r="F6" s="11">
        <f t="shared" ref="F6:F12" si="1">10%*D6-C6</f>
        <v>15</v>
      </c>
      <c r="G6" s="11">
        <f t="shared" ref="G6:G12" si="2">C6/10%</f>
        <v>20</v>
      </c>
      <c r="H6" s="2" t="s">
        <v>213</v>
      </c>
    </row>
    <row r="7" spans="1:8">
      <c r="A7" s="2" t="s">
        <v>214</v>
      </c>
      <c r="B7" s="2" t="s">
        <v>212</v>
      </c>
      <c r="C7" s="6">
        <v>5</v>
      </c>
      <c r="D7" s="15">
        <v>170</v>
      </c>
      <c r="E7" s="10">
        <f t="shared" si="0"/>
        <v>2.9411764705882353E-2</v>
      </c>
      <c r="F7" s="11">
        <f t="shared" si="1"/>
        <v>12</v>
      </c>
      <c r="G7" s="11">
        <f t="shared" si="2"/>
        <v>50</v>
      </c>
      <c r="H7" s="2" t="s">
        <v>215</v>
      </c>
    </row>
    <row r="8" spans="1:8">
      <c r="A8" s="2" t="s">
        <v>216</v>
      </c>
      <c r="B8" s="2" t="s">
        <v>212</v>
      </c>
      <c r="C8" s="6">
        <v>10</v>
      </c>
      <c r="D8" s="15">
        <v>170</v>
      </c>
      <c r="E8" s="10">
        <f t="shared" si="0"/>
        <v>5.8823529411764705E-2</v>
      </c>
      <c r="F8" s="11">
        <f t="shared" si="1"/>
        <v>7</v>
      </c>
      <c r="G8" s="11">
        <f t="shared" si="2"/>
        <v>100</v>
      </c>
      <c r="H8" s="2" t="s">
        <v>217</v>
      </c>
    </row>
    <row r="9" spans="1:8" ht="24">
      <c r="A9" s="2" t="s">
        <v>218</v>
      </c>
      <c r="B9" s="2" t="s">
        <v>219</v>
      </c>
      <c r="C9" s="6">
        <v>20</v>
      </c>
      <c r="D9" s="15">
        <v>120</v>
      </c>
      <c r="E9" s="10">
        <f t="shared" si="0"/>
        <v>0.16666666666666666</v>
      </c>
      <c r="F9" s="11">
        <f t="shared" si="1"/>
        <v>-8</v>
      </c>
      <c r="G9" s="11">
        <f t="shared" si="2"/>
        <v>200</v>
      </c>
      <c r="H9" s="2" t="s">
        <v>220</v>
      </c>
    </row>
    <row r="10" spans="1:8" ht="24">
      <c r="A10" s="2" t="s">
        <v>221</v>
      </c>
      <c r="B10" s="2" t="s">
        <v>219</v>
      </c>
      <c r="C10" s="6">
        <v>30</v>
      </c>
      <c r="D10" s="15">
        <v>120</v>
      </c>
      <c r="E10" s="10">
        <f t="shared" si="0"/>
        <v>0.25</v>
      </c>
      <c r="F10" s="11">
        <f t="shared" si="1"/>
        <v>-18</v>
      </c>
      <c r="G10" s="11">
        <f t="shared" si="2"/>
        <v>300</v>
      </c>
      <c r="H10" s="2" t="s">
        <v>222</v>
      </c>
    </row>
    <row r="11" spans="1:8">
      <c r="A11" s="2" t="s">
        <v>223</v>
      </c>
      <c r="B11" s="2" t="s">
        <v>219</v>
      </c>
      <c r="C11" s="15"/>
      <c r="D11" s="15">
        <v>120</v>
      </c>
      <c r="E11" s="10">
        <f t="shared" si="0"/>
        <v>0</v>
      </c>
      <c r="F11" s="11">
        <f t="shared" si="1"/>
        <v>12</v>
      </c>
      <c r="G11" s="11">
        <f t="shared" si="2"/>
        <v>0</v>
      </c>
      <c r="H11" s="2" t="s">
        <v>224</v>
      </c>
    </row>
    <row r="12" spans="1:8" ht="24">
      <c r="A12" s="2" t="s">
        <v>225</v>
      </c>
      <c r="B12" s="2" t="s">
        <v>119</v>
      </c>
      <c r="C12" s="6">
        <v>15</v>
      </c>
      <c r="D12" s="15">
        <v>120</v>
      </c>
      <c r="E12" s="10">
        <f t="shared" si="0"/>
        <v>0.125</v>
      </c>
      <c r="F12" s="11">
        <f t="shared" si="1"/>
        <v>-3</v>
      </c>
      <c r="G12" s="11">
        <f t="shared" si="2"/>
        <v>150</v>
      </c>
      <c r="H12" s="2" t="s">
        <v>226</v>
      </c>
    </row>
    <row r="14" spans="1:8" ht="21.95" customHeight="1">
      <c r="A14" s="30" t="s">
        <v>227</v>
      </c>
      <c r="B14" s="30"/>
      <c r="C14" s="30"/>
      <c r="D14" s="30"/>
      <c r="E14" s="30"/>
      <c r="F14" s="30"/>
      <c r="G14" s="30"/>
      <c r="H14" s="30"/>
    </row>
    <row r="15" spans="1:8">
      <c r="A15" s="1" t="s">
        <v>228</v>
      </c>
      <c r="B15" s="1" t="s">
        <v>4</v>
      </c>
      <c r="C15" s="1" t="s">
        <v>5</v>
      </c>
      <c r="D15" s="1" t="s">
        <v>123</v>
      </c>
      <c r="E15" s="1" t="s">
        <v>229</v>
      </c>
      <c r="F15" s="1" t="s">
        <v>230</v>
      </c>
      <c r="G15" s="1" t="s">
        <v>54</v>
      </c>
      <c r="H15" s="1" t="s">
        <v>231</v>
      </c>
    </row>
    <row r="16" spans="1:8" ht="24">
      <c r="A16" s="2" t="s">
        <v>232</v>
      </c>
      <c r="B16" s="16">
        <f>Inputs!B28</f>
        <v>10000</v>
      </c>
      <c r="C16" s="2" t="s">
        <v>41</v>
      </c>
      <c r="D16" s="2" t="s">
        <v>3</v>
      </c>
      <c r="E16" s="2" t="s">
        <v>233</v>
      </c>
      <c r="F16" s="2" t="s">
        <v>234</v>
      </c>
      <c r="G16" s="2" t="s">
        <v>235</v>
      </c>
      <c r="H16" s="2" t="s">
        <v>236</v>
      </c>
    </row>
    <row r="17" spans="1:8">
      <c r="A17" s="2" t="s">
        <v>237</v>
      </c>
      <c r="B17" s="17">
        <f>Inputs!B27</f>
        <v>5</v>
      </c>
      <c r="C17" s="2" t="s">
        <v>72</v>
      </c>
      <c r="D17" s="2" t="s">
        <v>3</v>
      </c>
      <c r="E17" s="2" t="s">
        <v>147</v>
      </c>
      <c r="F17" s="2" t="s">
        <v>234</v>
      </c>
      <c r="G17" s="2" t="s">
        <v>235</v>
      </c>
      <c r="H17" s="2" t="s">
        <v>236</v>
      </c>
    </row>
    <row r="18" spans="1:8">
      <c r="A18" s="2" t="s">
        <v>238</v>
      </c>
      <c r="B18" s="12">
        <f>Inputs!B29</f>
        <v>0.06</v>
      </c>
      <c r="C18" s="2" t="s">
        <v>12</v>
      </c>
      <c r="D18" s="2" t="s">
        <v>3</v>
      </c>
      <c r="E18" s="2" t="s">
        <v>86</v>
      </c>
      <c r="F18" s="2" t="s">
        <v>234</v>
      </c>
      <c r="G18" s="2" t="s">
        <v>235</v>
      </c>
      <c r="H18" s="2" t="s">
        <v>236</v>
      </c>
    </row>
    <row r="19" spans="1:8">
      <c r="A19" s="2" t="s">
        <v>136</v>
      </c>
      <c r="B19" s="14">
        <f>B16*B18</f>
        <v>600</v>
      </c>
      <c r="C19" s="2" t="s">
        <v>41</v>
      </c>
      <c r="D19" s="2" t="s">
        <v>239</v>
      </c>
      <c r="E19" s="2" t="s">
        <v>240</v>
      </c>
      <c r="F19" s="2" t="s">
        <v>33</v>
      </c>
      <c r="G19" s="2" t="s">
        <v>235</v>
      </c>
      <c r="H19" s="2" t="s">
        <v>236</v>
      </c>
    </row>
    <row r="20" spans="1:8">
      <c r="A20" s="2" t="s">
        <v>147</v>
      </c>
      <c r="B20" s="7">
        <f>B16*B17</f>
        <v>50000</v>
      </c>
      <c r="C20" s="2" t="s">
        <v>144</v>
      </c>
      <c r="D20" s="2" t="s">
        <v>241</v>
      </c>
      <c r="E20" s="2" t="s">
        <v>150</v>
      </c>
      <c r="F20" s="2" t="s">
        <v>33</v>
      </c>
      <c r="G20" s="2" t="s">
        <v>235</v>
      </c>
      <c r="H20" s="2" t="s">
        <v>236</v>
      </c>
    </row>
    <row r="21" spans="1:8">
      <c r="A21" s="2" t="s">
        <v>242</v>
      </c>
      <c r="B21" s="7">
        <f>B19*Inputs!B11</f>
        <v>72000</v>
      </c>
      <c r="C21" s="2" t="s">
        <v>144</v>
      </c>
      <c r="D21" s="2" t="s">
        <v>142</v>
      </c>
      <c r="E21" s="2" t="s">
        <v>243</v>
      </c>
      <c r="F21" s="2" t="s">
        <v>33</v>
      </c>
      <c r="G21" s="2" t="s">
        <v>235</v>
      </c>
      <c r="H21" s="2" t="s">
        <v>236</v>
      </c>
    </row>
    <row r="22" spans="1:8">
      <c r="A22" s="2" t="s">
        <v>109</v>
      </c>
      <c r="B22" s="7">
        <f>B21-B20</f>
        <v>22000</v>
      </c>
      <c r="C22" s="2" t="s">
        <v>144</v>
      </c>
      <c r="D22" s="2" t="s">
        <v>244</v>
      </c>
      <c r="E22" s="2" t="s">
        <v>245</v>
      </c>
      <c r="F22" s="2" t="s">
        <v>33</v>
      </c>
      <c r="G22" s="2" t="s">
        <v>235</v>
      </c>
      <c r="H22" s="2" t="s">
        <v>236</v>
      </c>
    </row>
    <row r="23" spans="1:8">
      <c r="A23" s="2" t="s">
        <v>110</v>
      </c>
      <c r="B23" s="11">
        <f>B20/B19</f>
        <v>83.333333333333329</v>
      </c>
      <c r="C23" s="2" t="s">
        <v>30</v>
      </c>
      <c r="D23" s="2" t="s">
        <v>246</v>
      </c>
      <c r="E23" s="2" t="s">
        <v>247</v>
      </c>
      <c r="F23" s="2" t="s">
        <v>33</v>
      </c>
      <c r="G23" s="2" t="s">
        <v>235</v>
      </c>
      <c r="H23" s="2" t="s">
        <v>159</v>
      </c>
    </row>
    <row r="25" spans="1:8" ht="21.95" customHeight="1">
      <c r="A25" s="30" t="s">
        <v>248</v>
      </c>
      <c r="B25" s="30"/>
      <c r="C25" s="30"/>
      <c r="D25" s="30"/>
      <c r="E25" s="30"/>
      <c r="F25" s="30"/>
      <c r="G25" s="30"/>
      <c r="H25" s="30"/>
    </row>
    <row r="26" spans="1:8" ht="24">
      <c r="A26" s="1" t="s">
        <v>249</v>
      </c>
      <c r="B26" s="1" t="s">
        <v>250</v>
      </c>
      <c r="C26" s="1" t="s">
        <v>251</v>
      </c>
      <c r="D26" s="1" t="s">
        <v>252</v>
      </c>
      <c r="E26" s="1" t="s">
        <v>109</v>
      </c>
      <c r="F26" s="1" t="s">
        <v>110</v>
      </c>
    </row>
    <row r="27" spans="1:8">
      <c r="A27" s="5">
        <v>0.02</v>
      </c>
      <c r="B27" s="14">
        <f>A27*Inputs!B28</f>
        <v>200</v>
      </c>
      <c r="C27" s="7">
        <f>B27*Inputs!B11</f>
        <v>24000</v>
      </c>
      <c r="D27" s="7">
        <f>Inputs!B27*Inputs!B28</f>
        <v>50000</v>
      </c>
      <c r="E27" s="7">
        <f>C27-D27</f>
        <v>-26000</v>
      </c>
      <c r="F27" s="11">
        <f>D27/B27</f>
        <v>250</v>
      </c>
    </row>
    <row r="28" spans="1:8">
      <c r="A28" s="5">
        <v>0.05</v>
      </c>
      <c r="B28" s="14">
        <f>A28*Inputs!B28</f>
        <v>500</v>
      </c>
      <c r="C28" s="7">
        <f>B28*Inputs!B11</f>
        <v>60000</v>
      </c>
      <c r="D28" s="7">
        <f>Inputs!B27*Inputs!B28</f>
        <v>50000</v>
      </c>
      <c r="E28" s="7">
        <f>C28-D28</f>
        <v>10000</v>
      </c>
      <c r="F28" s="11">
        <f>D28/B28</f>
        <v>100</v>
      </c>
    </row>
    <row r="29" spans="1:8">
      <c r="A29" s="5">
        <v>0.1</v>
      </c>
      <c r="B29" s="14">
        <f>A29*Inputs!B28</f>
        <v>1000</v>
      </c>
      <c r="C29" s="7">
        <f>B29*Inputs!B11</f>
        <v>120000</v>
      </c>
      <c r="D29" s="7">
        <f>Inputs!B27*Inputs!B28</f>
        <v>50000</v>
      </c>
      <c r="E29" s="7">
        <f>C29-D29</f>
        <v>70000</v>
      </c>
      <c r="F29" s="11">
        <f>D29/B29</f>
        <v>50</v>
      </c>
    </row>
    <row r="30" spans="1:8">
      <c r="A30" s="5">
        <v>0.15</v>
      </c>
      <c r="B30" s="14">
        <f>A30*Inputs!B28</f>
        <v>1500</v>
      </c>
      <c r="C30" s="7">
        <f>B30*Inputs!B11</f>
        <v>180000</v>
      </c>
      <c r="D30" s="7">
        <f>Inputs!B27*Inputs!B28</f>
        <v>50000</v>
      </c>
      <c r="E30" s="7">
        <f>C30-D30</f>
        <v>130000</v>
      </c>
      <c r="F30" s="11">
        <f>D30/B30</f>
        <v>33.333333333333336</v>
      </c>
    </row>
    <row r="31" spans="1:8">
      <c r="A31" s="5">
        <v>0.2</v>
      </c>
      <c r="B31" s="14">
        <f>A31*Inputs!B28</f>
        <v>2000</v>
      </c>
      <c r="C31" s="7">
        <f>B31*Inputs!B11</f>
        <v>240000</v>
      </c>
      <c r="D31" s="7">
        <f>Inputs!B27*Inputs!B28</f>
        <v>50000</v>
      </c>
      <c r="E31" s="7">
        <f>C31-D31</f>
        <v>190000</v>
      </c>
      <c r="F31" s="11">
        <f>D31/B31</f>
        <v>25</v>
      </c>
    </row>
    <row r="33" spans="1:8" ht="21.95" customHeight="1">
      <c r="A33" s="30" t="s">
        <v>253</v>
      </c>
      <c r="B33" s="30"/>
      <c r="C33" s="30"/>
      <c r="D33" s="30"/>
      <c r="E33" s="30"/>
      <c r="F33" s="30"/>
      <c r="G33" s="30"/>
      <c r="H33" s="30"/>
    </row>
    <row r="34" spans="1:8">
      <c r="A34" s="1" t="s">
        <v>42</v>
      </c>
      <c r="B34" s="1" t="s">
        <v>254</v>
      </c>
      <c r="C34" s="1" t="s">
        <v>255</v>
      </c>
      <c r="D34" s="1" t="s">
        <v>256</v>
      </c>
      <c r="E34" s="1" t="s">
        <v>257</v>
      </c>
      <c r="F34" s="1" t="s">
        <v>258</v>
      </c>
      <c r="G34" s="1" t="s">
        <v>259</v>
      </c>
    </row>
    <row r="35" spans="1:8">
      <c r="A35" s="2" t="s">
        <v>260</v>
      </c>
      <c r="B35" s="5">
        <v>0.2</v>
      </c>
      <c r="C35" s="7">
        <f>B35*Inputs!B11</f>
        <v>24</v>
      </c>
      <c r="D35" s="7">
        <f>Inputs!B30</f>
        <v>20</v>
      </c>
      <c r="E35" s="7">
        <f>C35-D35</f>
        <v>4</v>
      </c>
      <c r="F35" s="4" t="str">
        <f>IF(E35&gt;=0,"Within ceiling","Above ceiling")</f>
        <v>Within ceiling</v>
      </c>
      <c r="G35" s="2" t="s">
        <v>261</v>
      </c>
    </row>
    <row r="36" spans="1:8">
      <c r="A36" s="2" t="s">
        <v>262</v>
      </c>
      <c r="B36" s="5">
        <v>0.3</v>
      </c>
      <c r="C36" s="7">
        <f>B36*Inputs!B11</f>
        <v>36</v>
      </c>
      <c r="D36" s="7">
        <f>Inputs!B30</f>
        <v>20</v>
      </c>
      <c r="E36" s="7">
        <f>C36-D36</f>
        <v>16</v>
      </c>
      <c r="F36" s="4" t="str">
        <f>IF(E36&gt;=0,"Within ceiling","Above ceiling")</f>
        <v>Within ceiling</v>
      </c>
      <c r="G36" s="2" t="s">
        <v>261</v>
      </c>
    </row>
    <row r="37" spans="1:8">
      <c r="A37" s="2" t="s">
        <v>263</v>
      </c>
      <c r="B37" s="5">
        <v>0.4</v>
      </c>
      <c r="C37" s="7">
        <f>B37*Inputs!B11</f>
        <v>48</v>
      </c>
      <c r="D37" s="7">
        <f>Inputs!B30</f>
        <v>20</v>
      </c>
      <c r="E37" s="7">
        <f>C37-D37</f>
        <v>28</v>
      </c>
      <c r="F37" s="4" t="str">
        <f>IF(E37&gt;=0,"Within ceiling","Above ceiling")</f>
        <v>Within ceiling</v>
      </c>
      <c r="G37" s="2" t="s">
        <v>261</v>
      </c>
    </row>
    <row r="38" spans="1:8">
      <c r="A38" s="2" t="s">
        <v>264</v>
      </c>
      <c r="B38" s="5">
        <v>0.5</v>
      </c>
      <c r="C38" s="7">
        <f>B38*Inputs!B11</f>
        <v>60</v>
      </c>
      <c r="D38" s="7">
        <f>Inputs!B30</f>
        <v>20</v>
      </c>
      <c r="E38" s="7">
        <f>C38-D38</f>
        <v>40</v>
      </c>
      <c r="F38" s="4" t="str">
        <f>IF(E38&gt;=0,"Within ceiling","Above ceiling")</f>
        <v>Within ceiling</v>
      </c>
      <c r="G38" s="2" t="s">
        <v>261</v>
      </c>
    </row>
    <row r="39" spans="1:8" ht="24">
      <c r="A39" s="2" t="s">
        <v>265</v>
      </c>
      <c r="B39" s="5">
        <v>0.3</v>
      </c>
      <c r="C39" s="7">
        <f>B39*Inputs!B11</f>
        <v>36</v>
      </c>
      <c r="D39" s="7">
        <f>B39*Inputs!B11</f>
        <v>36</v>
      </c>
      <c r="E39" s="7">
        <f>C39-D39</f>
        <v>0</v>
      </c>
      <c r="F39" s="4" t="str">
        <f>IF(E39&gt;=0,"Within ceiling","Above ceiling")</f>
        <v>Within ceiling</v>
      </c>
      <c r="G39" s="2" t="s">
        <v>266</v>
      </c>
    </row>
  </sheetData>
  <mergeCells count="6">
    <mergeCell ref="A33:H33"/>
    <mergeCell ref="A1:H1"/>
    <mergeCell ref="A2:H2"/>
    <mergeCell ref="A4:H4"/>
    <mergeCell ref="A14:H14"/>
    <mergeCell ref="A25:H25"/>
  </mergeCells>
  <conditionalFormatting sqref="F35:F39">
    <cfRule type="expression" dxfId="1" priority="1">
      <formula>F35="Within ceiling"</formula>
    </cfRule>
    <cfRule type="expression" dxfId="0" priority="2">
      <formula>F35="Above ceiling"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defaultRowHeight="14.25"/>
  <cols>
    <col min="1" max="3" width="18" customWidth="1"/>
    <col min="4" max="4" width="22" customWidth="1"/>
    <col min="5" max="5" width="20" customWidth="1"/>
    <col min="6" max="7" width="18" customWidth="1"/>
  </cols>
  <sheetData>
    <row r="1" spans="1:8" ht="26.1" customHeight="1">
      <c r="A1" s="28" t="s">
        <v>267</v>
      </c>
      <c r="B1" s="28"/>
      <c r="C1" s="28"/>
      <c r="D1" s="28"/>
      <c r="E1" s="28"/>
      <c r="F1" s="28"/>
      <c r="G1" s="28"/>
      <c r="H1" s="28"/>
    </row>
    <row r="2" spans="1:8">
      <c r="A2" s="29" t="s">
        <v>268</v>
      </c>
      <c r="B2" s="29"/>
      <c r="C2" s="29"/>
      <c r="D2" s="29"/>
      <c r="E2" s="29"/>
      <c r="F2" s="29"/>
      <c r="G2" s="29"/>
      <c r="H2" s="29"/>
    </row>
    <row r="4" spans="1:8" ht="21.95" customHeight="1">
      <c r="A4" s="30" t="s">
        <v>269</v>
      </c>
      <c r="B4" s="30"/>
      <c r="C4" s="30"/>
      <c r="D4" s="30"/>
      <c r="E4" s="30"/>
      <c r="F4" s="30"/>
      <c r="G4" s="30"/>
      <c r="H4" s="30"/>
    </row>
    <row r="5" spans="1:8">
      <c r="A5" s="1" t="s">
        <v>270</v>
      </c>
      <c r="B5" s="1" t="s">
        <v>4</v>
      </c>
      <c r="C5" s="1" t="s">
        <v>6</v>
      </c>
      <c r="D5" s="1" t="s">
        <v>191</v>
      </c>
      <c r="E5" s="1" t="s">
        <v>7</v>
      </c>
    </row>
    <row r="6" spans="1:8">
      <c r="A6" s="2" t="s">
        <v>271</v>
      </c>
      <c r="B6" s="6">
        <v>280</v>
      </c>
      <c r="C6" s="2" t="s">
        <v>272</v>
      </c>
      <c r="D6" s="2" t="s">
        <v>3</v>
      </c>
      <c r="E6" s="2" t="s">
        <v>273</v>
      </c>
    </row>
    <row r="7" spans="1:8" ht="24">
      <c r="A7" s="2" t="s">
        <v>274</v>
      </c>
      <c r="B7" s="6">
        <v>65</v>
      </c>
      <c r="C7" s="2" t="s">
        <v>275</v>
      </c>
      <c r="D7" s="2" t="s">
        <v>3</v>
      </c>
      <c r="E7" s="2" t="s">
        <v>276</v>
      </c>
    </row>
    <row r="8" spans="1:8">
      <c r="A8" s="2" t="s">
        <v>277</v>
      </c>
      <c r="B8" s="6">
        <v>30</v>
      </c>
      <c r="C8" s="2" t="s">
        <v>275</v>
      </c>
      <c r="D8" s="2" t="s">
        <v>3</v>
      </c>
      <c r="E8" s="2" t="s">
        <v>278</v>
      </c>
    </row>
    <row r="9" spans="1:8">
      <c r="A9" s="2" t="s">
        <v>279</v>
      </c>
      <c r="B9" s="6">
        <v>15</v>
      </c>
      <c r="C9" s="2" t="s">
        <v>275</v>
      </c>
      <c r="D9" s="2" t="s">
        <v>3</v>
      </c>
      <c r="E9" s="2" t="s">
        <v>280</v>
      </c>
    </row>
    <row r="10" spans="1:8">
      <c r="A10" s="2" t="s">
        <v>281</v>
      </c>
      <c r="B10" s="6">
        <v>5</v>
      </c>
      <c r="C10" s="2" t="s">
        <v>275</v>
      </c>
      <c r="D10" s="2" t="s">
        <v>3</v>
      </c>
      <c r="E10" s="2" t="s">
        <v>282</v>
      </c>
    </row>
    <row r="11" spans="1:8" ht="24">
      <c r="A11" s="2" t="s">
        <v>283</v>
      </c>
      <c r="B11" s="6">
        <v>12</v>
      </c>
      <c r="C11" s="2" t="s">
        <v>275</v>
      </c>
      <c r="D11" s="2" t="s">
        <v>3</v>
      </c>
      <c r="E11" s="2" t="s">
        <v>284</v>
      </c>
    </row>
    <row r="12" spans="1:8" ht="24">
      <c r="A12" s="2" t="s">
        <v>285</v>
      </c>
      <c r="B12" s="6">
        <v>120</v>
      </c>
      <c r="C12" s="2" t="s">
        <v>272</v>
      </c>
      <c r="D12" s="2" t="s">
        <v>3</v>
      </c>
      <c r="E12" s="2" t="s">
        <v>286</v>
      </c>
    </row>
    <row r="13" spans="1:8" ht="15.75">
      <c r="A13" s="2" t="s">
        <v>287</v>
      </c>
      <c r="B13" s="18">
        <f>B6-B7-B8-B9-B10-B11+B12</f>
        <v>273</v>
      </c>
      <c r="C13" s="2" t="s">
        <v>33</v>
      </c>
      <c r="D13" s="2" t="s">
        <v>288</v>
      </c>
      <c r="E13" s="2" t="s">
        <v>289</v>
      </c>
    </row>
    <row r="15" spans="1:8" ht="21.95" customHeight="1">
      <c r="A15" s="30" t="s">
        <v>290</v>
      </c>
      <c r="B15" s="30"/>
      <c r="C15" s="30"/>
      <c r="D15" s="30"/>
      <c r="E15" s="30"/>
      <c r="F15" s="30"/>
      <c r="G15" s="30"/>
      <c r="H15" s="30"/>
    </row>
    <row r="16" spans="1:8">
      <c r="A16" s="1" t="s">
        <v>291</v>
      </c>
      <c r="B16" s="1" t="s">
        <v>292</v>
      </c>
      <c r="C16" s="1" t="s">
        <v>293</v>
      </c>
      <c r="D16" s="1" t="s">
        <v>294</v>
      </c>
      <c r="E16" s="1" t="s">
        <v>295</v>
      </c>
      <c r="F16" s="1" t="s">
        <v>296</v>
      </c>
      <c r="G16" s="1" t="s">
        <v>109</v>
      </c>
    </row>
    <row r="17" spans="1:7">
      <c r="A17" s="5">
        <v>0.05</v>
      </c>
      <c r="B17" s="8">
        <v>10000</v>
      </c>
      <c r="C17" s="14">
        <f>A17*B17</f>
        <v>500</v>
      </c>
      <c r="D17" s="7">
        <f>$B$13</f>
        <v>273</v>
      </c>
      <c r="E17" s="7">
        <f>C17*D17</f>
        <v>136500</v>
      </c>
      <c r="F17" s="7">
        <f>C17*B9</f>
        <v>7500</v>
      </c>
      <c r="G17" s="7">
        <f>E17-F17</f>
        <v>129000</v>
      </c>
    </row>
    <row r="18" spans="1:7">
      <c r="A18" s="5">
        <v>0.125</v>
      </c>
      <c r="B18" s="8">
        <v>10000</v>
      </c>
      <c r="C18" s="14">
        <f>A18*B18</f>
        <v>1250</v>
      </c>
      <c r="D18" s="7">
        <f>$B$13</f>
        <v>273</v>
      </c>
      <c r="E18" s="7">
        <f>C18*D18</f>
        <v>341250</v>
      </c>
      <c r="F18" s="7">
        <f>C18*B9</f>
        <v>18750</v>
      </c>
      <c r="G18" s="7">
        <f>E18-F18</f>
        <v>322500</v>
      </c>
    </row>
    <row r="19" spans="1:7">
      <c r="A19" s="5">
        <v>0.2</v>
      </c>
      <c r="B19" s="8">
        <v>10000</v>
      </c>
      <c r="C19" s="14">
        <f>A19*B19</f>
        <v>2000</v>
      </c>
      <c r="D19" s="7">
        <f>$B$13</f>
        <v>273</v>
      </c>
      <c r="E19" s="7">
        <f>C19*D19</f>
        <v>546000</v>
      </c>
      <c r="F19" s="7">
        <f>C19*B9</f>
        <v>30000</v>
      </c>
      <c r="G19" s="7">
        <f>E19-F19</f>
        <v>516000</v>
      </c>
    </row>
    <row r="20" spans="1:7">
      <c r="A20" s="5">
        <v>0.3</v>
      </c>
      <c r="B20" s="8">
        <v>10000</v>
      </c>
      <c r="C20" s="14">
        <f>A20*B20</f>
        <v>3000</v>
      </c>
      <c r="D20" s="7">
        <f>$B$13</f>
        <v>273</v>
      </c>
      <c r="E20" s="7">
        <f>C20*D20</f>
        <v>819000</v>
      </c>
      <c r="F20" s="7">
        <f>C20*B9</f>
        <v>45000</v>
      </c>
      <c r="G20" s="7">
        <f>E20-F20</f>
        <v>774000</v>
      </c>
    </row>
    <row r="21" spans="1:7">
      <c r="A21" s="5">
        <v>0.4</v>
      </c>
      <c r="B21" s="8">
        <v>10000</v>
      </c>
      <c r="C21" s="14">
        <f>A21*B21</f>
        <v>4000</v>
      </c>
      <c r="D21" s="7">
        <f>$B$13</f>
        <v>273</v>
      </c>
      <c r="E21" s="7">
        <f>C21*D21</f>
        <v>1092000</v>
      </c>
      <c r="F21" s="7">
        <f>C21*B9</f>
        <v>60000</v>
      </c>
      <c r="G21" s="7">
        <f>E21-F21</f>
        <v>1032000</v>
      </c>
    </row>
  </sheetData>
  <mergeCells count="4">
    <mergeCell ref="A1:H1"/>
    <mergeCell ref="A2:H2"/>
    <mergeCell ref="A4:H4"/>
    <mergeCell ref="A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/>
  </sheetViews>
  <sheetFormatPr defaultRowHeight="14.25"/>
  <cols>
    <col min="1" max="1" width="22" customWidth="1"/>
    <col min="2" max="2" width="16" customWidth="1"/>
    <col min="3" max="3" width="22" customWidth="1"/>
    <col min="4" max="4" width="16" customWidth="1"/>
    <col min="5" max="5" width="20" customWidth="1"/>
    <col min="6" max="7" width="18" customWidth="1"/>
    <col min="8" max="8" width="20" customWidth="1"/>
  </cols>
  <sheetData>
    <row r="1" spans="1:10" ht="26.1" customHeight="1">
      <c r="A1" s="28" t="s">
        <v>297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9" t="s">
        <v>298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21.95" customHeight="1">
      <c r="A4" s="30" t="s">
        <v>299</v>
      </c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 t="s">
        <v>42</v>
      </c>
      <c r="B5" s="1" t="s">
        <v>300</v>
      </c>
      <c r="C5" s="1" t="s">
        <v>301</v>
      </c>
      <c r="D5" s="1" t="s">
        <v>302</v>
      </c>
      <c r="E5" s="1" t="s">
        <v>303</v>
      </c>
      <c r="F5" s="1" t="s">
        <v>304</v>
      </c>
      <c r="G5" s="1" t="s">
        <v>109</v>
      </c>
      <c r="H5" s="1" t="s">
        <v>305</v>
      </c>
    </row>
    <row r="6" spans="1:10">
      <c r="A6" s="2" t="s">
        <v>306</v>
      </c>
      <c r="B6" s="19">
        <v>100</v>
      </c>
      <c r="C6" s="19">
        <v>1.04</v>
      </c>
      <c r="D6" s="11">
        <f>Inputs!B11</f>
        <v>120</v>
      </c>
      <c r="E6" s="11">
        <f>C6*D6</f>
        <v>124.80000000000001</v>
      </c>
      <c r="F6" s="11">
        <v>35</v>
      </c>
      <c r="G6" s="21">
        <f>E6-F6</f>
        <v>89.800000000000011</v>
      </c>
      <c r="H6" s="11">
        <f>G6/B6</f>
        <v>0.89800000000000013</v>
      </c>
    </row>
    <row r="7" spans="1:10">
      <c r="A7" s="2" t="s">
        <v>307</v>
      </c>
      <c r="B7" s="19">
        <v>100</v>
      </c>
      <c r="C7" s="20">
        <f>C6*50%</f>
        <v>0.52</v>
      </c>
      <c r="D7" s="11">
        <f>D6</f>
        <v>120</v>
      </c>
      <c r="E7" s="11">
        <f>C7*D7</f>
        <v>62.400000000000006</v>
      </c>
      <c r="F7" s="11">
        <v>35</v>
      </c>
      <c r="G7" s="21">
        <f>E7-F7</f>
        <v>27.400000000000006</v>
      </c>
      <c r="H7" s="11">
        <f>G7/B7</f>
        <v>0.27400000000000008</v>
      </c>
    </row>
    <row r="8" spans="1:10">
      <c r="A8" s="2" t="s">
        <v>308</v>
      </c>
      <c r="B8" s="19">
        <v>2000</v>
      </c>
      <c r="C8" s="20">
        <f>B8*3%</f>
        <v>60</v>
      </c>
      <c r="D8" s="11">
        <f>Inputs!B11</f>
        <v>120</v>
      </c>
      <c r="E8" s="11">
        <f>C8*D8</f>
        <v>7200</v>
      </c>
      <c r="F8" s="11">
        <f>E8*25%</f>
        <v>1800</v>
      </c>
      <c r="G8" s="21">
        <f>E8-F8</f>
        <v>5400</v>
      </c>
      <c r="H8" s="11">
        <f>F8/B8</f>
        <v>0.9</v>
      </c>
    </row>
    <row r="9" spans="1:10">
      <c r="A9" s="2" t="s">
        <v>309</v>
      </c>
      <c r="B9" s="19">
        <f>B8</f>
        <v>2000</v>
      </c>
      <c r="C9" s="20">
        <f>C8</f>
        <v>60</v>
      </c>
      <c r="D9" s="11"/>
      <c r="E9" s="11">
        <f>E8</f>
        <v>7200</v>
      </c>
      <c r="F9" s="11">
        <f>E8*25%</f>
        <v>1800</v>
      </c>
      <c r="G9" s="21">
        <f>E9-F9</f>
        <v>5400</v>
      </c>
      <c r="H9" s="11">
        <f>F9/B9</f>
        <v>0.9</v>
      </c>
    </row>
    <row r="10" spans="1:10">
      <c r="A10" s="2" t="s">
        <v>310</v>
      </c>
      <c r="B10" s="20">
        <f>B8</f>
        <v>2000</v>
      </c>
      <c r="C10" s="20"/>
      <c r="D10" s="11"/>
      <c r="E10" s="11"/>
      <c r="F10" s="11">
        <f>F9</f>
        <v>1800</v>
      </c>
      <c r="G10" s="21"/>
      <c r="H10" s="11">
        <f>F10/B10</f>
        <v>0.9</v>
      </c>
    </row>
  </sheetData>
  <mergeCells count="3">
    <mergeCell ref="A1:J1"/>
    <mergeCell ref="A2:J2"/>
    <mergeCell ref="A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/>
  </sheetViews>
  <sheetFormatPr defaultRowHeight="14.25"/>
  <cols>
    <col min="1" max="1" width="30" customWidth="1"/>
    <col min="2" max="7" width="16" customWidth="1"/>
    <col min="8" max="8" width="36" customWidth="1"/>
    <col min="9" max="10" width="18" customWidth="1"/>
  </cols>
  <sheetData>
    <row r="1" spans="1:10" ht="26.1" customHeight="1">
      <c r="A1" s="28" t="s">
        <v>311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9" t="s">
        <v>312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21.95" customHeight="1">
      <c r="A4" s="30" t="s">
        <v>313</v>
      </c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 t="s">
        <v>314</v>
      </c>
      <c r="B5" s="1" t="s">
        <v>315</v>
      </c>
      <c r="C5" s="1" t="s">
        <v>316</v>
      </c>
      <c r="D5" s="1" t="s">
        <v>317</v>
      </c>
      <c r="E5" s="1" t="s">
        <v>123</v>
      </c>
      <c r="F5" s="1" t="s">
        <v>318</v>
      </c>
      <c r="G5" s="1" t="s">
        <v>319</v>
      </c>
      <c r="H5" s="1" t="s">
        <v>159</v>
      </c>
      <c r="I5" s="1" t="s">
        <v>10</v>
      </c>
      <c r="J5" s="1" t="s">
        <v>320</v>
      </c>
    </row>
    <row r="6" spans="1:10" ht="48">
      <c r="A6" s="2" t="s">
        <v>165</v>
      </c>
      <c r="B6" s="2" t="s">
        <v>182</v>
      </c>
      <c r="C6" s="2"/>
      <c r="D6" s="2"/>
      <c r="E6" s="2" t="s">
        <v>321</v>
      </c>
      <c r="F6" s="2" t="s">
        <v>177</v>
      </c>
      <c r="G6" s="2" t="s">
        <v>322</v>
      </c>
      <c r="H6" s="2" t="s">
        <v>323</v>
      </c>
      <c r="I6" s="2" t="s">
        <v>166</v>
      </c>
      <c r="J6" s="11">
        <f>North_Star_Maths!F10</f>
        <v>74.602272727272734</v>
      </c>
    </row>
    <row r="7" spans="1:10" ht="24">
      <c r="A7" s="2" t="s">
        <v>324</v>
      </c>
      <c r="B7" s="2" t="s">
        <v>126</v>
      </c>
      <c r="C7" s="2"/>
      <c r="D7" s="2"/>
      <c r="E7" s="2" t="s">
        <v>127</v>
      </c>
      <c r="F7" s="2" t="s">
        <v>177</v>
      </c>
      <c r="G7" s="2" t="s">
        <v>325</v>
      </c>
      <c r="H7" s="2" t="s">
        <v>326</v>
      </c>
      <c r="I7" s="2" t="s">
        <v>17</v>
      </c>
      <c r="J7" s="10">
        <f>North_Star_Maths!F6</f>
        <v>0.12000000000000001</v>
      </c>
    </row>
    <row r="8" spans="1:10" ht="36">
      <c r="A8" s="2" t="s">
        <v>324</v>
      </c>
      <c r="B8" s="2" t="s">
        <v>327</v>
      </c>
      <c r="C8" s="2"/>
      <c r="D8" s="2"/>
      <c r="E8" s="2" t="s">
        <v>328</v>
      </c>
      <c r="F8" s="2" t="s">
        <v>179</v>
      </c>
      <c r="G8" s="2" t="s">
        <v>325</v>
      </c>
      <c r="H8" s="2" t="s">
        <v>326</v>
      </c>
      <c r="I8" s="2" t="s">
        <v>329</v>
      </c>
      <c r="J8" s="10">
        <f>0</f>
        <v>0</v>
      </c>
    </row>
    <row r="9" spans="1:10" ht="24">
      <c r="A9" s="2" t="s">
        <v>324</v>
      </c>
      <c r="B9" s="2" t="s">
        <v>330</v>
      </c>
      <c r="C9" s="2"/>
      <c r="D9" s="2"/>
      <c r="E9" s="2" t="s">
        <v>331</v>
      </c>
      <c r="F9" s="2" t="s">
        <v>179</v>
      </c>
      <c r="G9" s="2" t="s">
        <v>325</v>
      </c>
      <c r="H9" s="2" t="s">
        <v>332</v>
      </c>
      <c r="I9" s="2" t="s">
        <v>333</v>
      </c>
      <c r="J9" s="10">
        <f>0</f>
        <v>0</v>
      </c>
    </row>
    <row r="10" spans="1:10" ht="48">
      <c r="A10" s="2" t="s">
        <v>117</v>
      </c>
      <c r="B10" s="2" t="s">
        <v>334</v>
      </c>
      <c r="C10" s="2"/>
      <c r="D10" s="2"/>
      <c r="E10" s="2" t="s">
        <v>335</v>
      </c>
      <c r="F10" s="2" t="s">
        <v>179</v>
      </c>
      <c r="G10" s="2" t="s">
        <v>325</v>
      </c>
      <c r="H10" s="2" t="s">
        <v>332</v>
      </c>
      <c r="I10" s="2" t="s">
        <v>336</v>
      </c>
      <c r="J10" s="10">
        <f>0</f>
        <v>0</v>
      </c>
    </row>
    <row r="11" spans="1:10" ht="24">
      <c r="A11" s="2" t="s">
        <v>117</v>
      </c>
      <c r="B11" s="2" t="s">
        <v>337</v>
      </c>
      <c r="C11" s="2"/>
      <c r="D11" s="2"/>
      <c r="E11" s="2" t="s">
        <v>338</v>
      </c>
      <c r="F11" s="2" t="s">
        <v>339</v>
      </c>
      <c r="G11" s="2" t="s">
        <v>322</v>
      </c>
      <c r="H11" s="2" t="s">
        <v>332</v>
      </c>
      <c r="I11" s="2" t="s">
        <v>336</v>
      </c>
      <c r="J11" s="10">
        <f>0</f>
        <v>0</v>
      </c>
    </row>
    <row r="12" spans="1:10" ht="24">
      <c r="A12" s="2" t="s">
        <v>340</v>
      </c>
      <c r="B12" s="2" t="s">
        <v>341</v>
      </c>
      <c r="C12" s="2"/>
      <c r="D12" s="2"/>
      <c r="E12" s="2" t="s">
        <v>342</v>
      </c>
      <c r="F12" s="2" t="s">
        <v>177</v>
      </c>
      <c r="G12" s="2" t="s">
        <v>325</v>
      </c>
      <c r="H12" s="2" t="s">
        <v>343</v>
      </c>
      <c r="I12" s="2" t="s">
        <v>340</v>
      </c>
      <c r="J12" s="10">
        <f>0</f>
        <v>0</v>
      </c>
    </row>
    <row r="13" spans="1:10" ht="24">
      <c r="A13" s="2" t="s">
        <v>119</v>
      </c>
      <c r="B13" s="2" t="s">
        <v>344</v>
      </c>
      <c r="C13" s="2"/>
      <c r="D13" s="2"/>
      <c r="E13" s="2" t="s">
        <v>345</v>
      </c>
      <c r="F13" s="2" t="s">
        <v>177</v>
      </c>
      <c r="G13" s="2" t="s">
        <v>325</v>
      </c>
      <c r="H13" s="2" t="s">
        <v>346</v>
      </c>
      <c r="I13" s="2" t="s">
        <v>347</v>
      </c>
      <c r="J13" s="10">
        <f>0</f>
        <v>0</v>
      </c>
    </row>
    <row r="15" spans="1:10" ht="21.95" customHeight="1">
      <c r="A15" s="30" t="s">
        <v>348</v>
      </c>
      <c r="B15" s="30"/>
      <c r="C15" s="30"/>
      <c r="D15" s="30"/>
      <c r="E15" s="30"/>
      <c r="F15" s="30"/>
      <c r="G15" s="30"/>
      <c r="H15" s="30"/>
      <c r="I15" s="30"/>
      <c r="J15" s="30"/>
    </row>
    <row r="16" spans="1:10">
      <c r="A16" s="1" t="s">
        <v>349</v>
      </c>
      <c r="B16" s="1" t="s">
        <v>170</v>
      </c>
      <c r="C16" s="1" t="s">
        <v>350</v>
      </c>
      <c r="D16" s="1" t="s">
        <v>351</v>
      </c>
      <c r="E16" s="1" t="s">
        <v>352</v>
      </c>
      <c r="F16" s="1" t="s">
        <v>353</v>
      </c>
      <c r="G16" s="1" t="s">
        <v>5</v>
      </c>
      <c r="H16" s="1" t="s">
        <v>354</v>
      </c>
    </row>
    <row r="17" spans="1:8">
      <c r="A17" s="2" t="s">
        <v>355</v>
      </c>
      <c r="B17" s="11">
        <f>Inputs!B10</f>
        <v>50</v>
      </c>
      <c r="C17" s="11">
        <f>Inputs!B10</f>
        <v>50</v>
      </c>
      <c r="D17" s="11">
        <f>Inputs!B10</f>
        <v>50</v>
      </c>
      <c r="E17" s="11">
        <f>Inputs!B10</f>
        <v>50</v>
      </c>
      <c r="F17" s="11">
        <f>Inputs!B10</f>
        <v>50</v>
      </c>
      <c r="G17" s="2" t="s">
        <v>72</v>
      </c>
      <c r="H17" s="2" t="s">
        <v>356</v>
      </c>
    </row>
    <row r="18" spans="1:8">
      <c r="A18" s="2" t="s">
        <v>357</v>
      </c>
      <c r="B18" s="11">
        <f>North_Star_Maths!B6*Inputs!B11</f>
        <v>20.400000000000002</v>
      </c>
      <c r="C18" s="11">
        <f>North_Star_Maths!C6*Inputs!B11</f>
        <v>19.2</v>
      </c>
      <c r="D18" s="11">
        <f>North_Star_Maths!D6*Inputs!B11</f>
        <v>17.400000000000002</v>
      </c>
      <c r="E18" s="11">
        <f>North_Star_Maths!E6*Inputs!B11</f>
        <v>15.600000000000001</v>
      </c>
      <c r="F18" s="11">
        <f>North_Star_Maths!F6*Inputs!B11</f>
        <v>14.4</v>
      </c>
      <c r="G18" s="2" t="s">
        <v>72</v>
      </c>
      <c r="H18" s="2" t="s">
        <v>358</v>
      </c>
    </row>
    <row r="19" spans="1:8">
      <c r="A19" s="2" t="s">
        <v>181</v>
      </c>
      <c r="B19" s="11">
        <v>0</v>
      </c>
      <c r="C19" s="11">
        <f>Inputs!B23</f>
        <v>0.5</v>
      </c>
      <c r="D19" s="11">
        <f>Inputs!B24</f>
        <v>0.75</v>
      </c>
      <c r="E19" s="11">
        <f>Inputs!B25</f>
        <v>1</v>
      </c>
      <c r="F19" s="11">
        <f>Inputs!B26</f>
        <v>1.25</v>
      </c>
      <c r="G19" s="2" t="s">
        <v>72</v>
      </c>
      <c r="H19" s="2" t="s">
        <v>359</v>
      </c>
    </row>
    <row r="20" spans="1:8">
      <c r="A20" s="2" t="s">
        <v>360</v>
      </c>
      <c r="B20" s="11">
        <f>B17+B18+B19</f>
        <v>70.400000000000006</v>
      </c>
      <c r="C20" s="11">
        <f>C17+C18+C19</f>
        <v>69.7</v>
      </c>
      <c r="D20" s="11">
        <f>D17+D18+D19</f>
        <v>68.150000000000006</v>
      </c>
      <c r="E20" s="11">
        <f>E17+E18+E19</f>
        <v>66.599999999999994</v>
      </c>
      <c r="F20" s="11">
        <f>F17+F18+F19</f>
        <v>65.650000000000006</v>
      </c>
      <c r="G20" s="2" t="s">
        <v>72</v>
      </c>
      <c r="H20" s="2" t="s">
        <v>361</v>
      </c>
    </row>
    <row r="21" spans="1:8">
      <c r="A21" s="2" t="s">
        <v>178</v>
      </c>
      <c r="B21" s="10">
        <f>1-North_Star_Maths!B6</f>
        <v>0.83</v>
      </c>
      <c r="C21" s="10">
        <f>1-North_Star_Maths!C6</f>
        <v>0.84</v>
      </c>
      <c r="D21" s="10">
        <f>1-North_Star_Maths!D6</f>
        <v>0.85499999999999998</v>
      </c>
      <c r="E21" s="10">
        <f>1-North_Star_Maths!E6</f>
        <v>0.87</v>
      </c>
      <c r="F21" s="10">
        <f>1-North_Star_Maths!F6</f>
        <v>0.88</v>
      </c>
      <c r="G21" s="2" t="s">
        <v>12</v>
      </c>
      <c r="H21" s="2" t="s">
        <v>362</v>
      </c>
    </row>
    <row r="22" spans="1:8">
      <c r="A22" s="2" t="s">
        <v>182</v>
      </c>
      <c r="B22" s="11">
        <f>B20/B21</f>
        <v>84.819277108433752</v>
      </c>
      <c r="C22" s="11">
        <f>C20/C21</f>
        <v>82.976190476190482</v>
      </c>
      <c r="D22" s="11">
        <f>D20/D21</f>
        <v>79.707602339181292</v>
      </c>
      <c r="E22" s="11">
        <f>E20/E21</f>
        <v>76.551724137931032</v>
      </c>
      <c r="F22" s="11">
        <f>F20/F21</f>
        <v>74.602272727272734</v>
      </c>
      <c r="G22" s="2" t="s">
        <v>37</v>
      </c>
      <c r="H22" s="2" t="s">
        <v>363</v>
      </c>
    </row>
    <row r="23" spans="1:8">
      <c r="A23" s="2" t="s">
        <v>183</v>
      </c>
      <c r="B23" s="4" t="s">
        <v>184</v>
      </c>
      <c r="C23" s="10">
        <f>($B$22-C22)/$B$22</f>
        <v>2.1729572510822647E-2</v>
      </c>
      <c r="D23" s="10">
        <f>($B$22-D22)/$B$22</f>
        <v>6.0265483785220751E-2</v>
      </c>
      <c r="E23" s="10">
        <f>($B$22-E22)/$B$22</f>
        <v>9.7472570532915567E-2</v>
      </c>
      <c r="F23" s="10">
        <f>($B$22-F22)/$B$22</f>
        <v>0.12045615960743812</v>
      </c>
      <c r="G23" s="2" t="s">
        <v>12</v>
      </c>
      <c r="H23" s="2" t="s">
        <v>364</v>
      </c>
    </row>
  </sheetData>
  <mergeCells count="4">
    <mergeCell ref="A1:J1"/>
    <mergeCell ref="A2:J2"/>
    <mergeCell ref="A4:J4"/>
    <mergeCell ref="A15:J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1"/>
  <sheetViews>
    <sheetView workbookViewId="0"/>
  </sheetViews>
  <sheetFormatPr defaultRowHeight="14.25"/>
  <cols>
    <col min="1" max="1" width="32" customWidth="1"/>
    <col min="2" max="3" width="12" customWidth="1"/>
    <col min="4" max="4" width="15" customWidth="1"/>
    <col min="5" max="5" width="12" customWidth="1"/>
    <col min="6" max="6" width="16" customWidth="1"/>
    <col min="7" max="7" width="12" customWidth="1"/>
    <col min="8" max="8" width="38" customWidth="1"/>
    <col min="9" max="9" width="22" customWidth="1"/>
    <col min="10" max="10" width="28" customWidth="1"/>
    <col min="11" max="11" width="30" customWidth="1"/>
  </cols>
  <sheetData>
    <row r="1" spans="1:11" ht="26.1" customHeight="1">
      <c r="A1" s="28" t="s">
        <v>365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29" t="s">
        <v>366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21.95" customHeight="1">
      <c r="A4" s="30" t="s">
        <v>367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>
      <c r="A5" s="1" t="s">
        <v>205</v>
      </c>
      <c r="B5" s="1" t="s">
        <v>368</v>
      </c>
      <c r="C5" s="1" t="s">
        <v>369</v>
      </c>
      <c r="D5" s="1" t="s">
        <v>370</v>
      </c>
      <c r="E5" s="1" t="s">
        <v>371</v>
      </c>
      <c r="F5" s="1" t="s">
        <v>372</v>
      </c>
      <c r="G5" s="1" t="s">
        <v>373</v>
      </c>
      <c r="H5" s="1" t="s">
        <v>258</v>
      </c>
      <c r="I5" s="1" t="s">
        <v>374</v>
      </c>
      <c r="J5" s="1" t="s">
        <v>375</v>
      </c>
      <c r="K5" s="1" t="s">
        <v>376</v>
      </c>
    </row>
    <row r="6" spans="1:11" ht="36">
      <c r="A6" s="2" t="s">
        <v>377</v>
      </c>
      <c r="B6" s="2" t="s">
        <v>378</v>
      </c>
      <c r="C6" s="2" t="s">
        <v>379</v>
      </c>
      <c r="D6" s="2" t="s">
        <v>380</v>
      </c>
      <c r="E6" s="2" t="s">
        <v>381</v>
      </c>
      <c r="F6" s="2" t="s">
        <v>382</v>
      </c>
      <c r="G6" s="2" t="s">
        <v>383</v>
      </c>
      <c r="H6" s="2" t="s">
        <v>384</v>
      </c>
      <c r="I6" s="2" t="s">
        <v>385</v>
      </c>
      <c r="J6" s="2" t="s">
        <v>386</v>
      </c>
      <c r="K6" s="2" t="s">
        <v>387</v>
      </c>
    </row>
    <row r="7" spans="1:11" ht="84">
      <c r="A7" s="2" t="s">
        <v>388</v>
      </c>
      <c r="B7" s="2" t="s">
        <v>389</v>
      </c>
      <c r="C7" s="2" t="s">
        <v>390</v>
      </c>
      <c r="D7" s="2" t="s">
        <v>391</v>
      </c>
      <c r="E7" s="2" t="s">
        <v>392</v>
      </c>
      <c r="F7" s="2" t="s">
        <v>393</v>
      </c>
      <c r="G7" s="2" t="s">
        <v>394</v>
      </c>
      <c r="H7" s="2" t="s">
        <v>395</v>
      </c>
      <c r="I7" s="2" t="s">
        <v>396</v>
      </c>
      <c r="J7" s="2" t="s">
        <v>397</v>
      </c>
      <c r="K7" s="2" t="s">
        <v>398</v>
      </c>
    </row>
    <row r="8" spans="1:11" ht="48">
      <c r="A8" s="2" t="s">
        <v>399</v>
      </c>
      <c r="B8" s="2" t="s">
        <v>400</v>
      </c>
      <c r="C8" s="2" t="s">
        <v>401</v>
      </c>
      <c r="D8" s="2" t="s">
        <v>402</v>
      </c>
      <c r="E8" s="2" t="s">
        <v>403</v>
      </c>
      <c r="F8" s="2" t="s">
        <v>404</v>
      </c>
      <c r="G8" s="2" t="s">
        <v>405</v>
      </c>
      <c r="H8" s="2" t="s">
        <v>406</v>
      </c>
      <c r="I8" s="2" t="s">
        <v>407</v>
      </c>
      <c r="J8" s="2" t="s">
        <v>408</v>
      </c>
      <c r="K8" s="2" t="s">
        <v>409</v>
      </c>
    </row>
    <row r="10" spans="1:11" ht="21.95" customHeight="1">
      <c r="A10" s="30" t="s">
        <v>410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>
      <c r="A11" s="1" t="s">
        <v>411</v>
      </c>
      <c r="B11" s="1" t="s">
        <v>53</v>
      </c>
      <c r="C11" s="1" t="s">
        <v>412</v>
      </c>
      <c r="D11" s="1" t="s">
        <v>413</v>
      </c>
      <c r="E11" s="1" t="s">
        <v>414</v>
      </c>
      <c r="F11" s="1" t="s">
        <v>10</v>
      </c>
    </row>
    <row r="12" spans="1:11" ht="24">
      <c r="A12" s="2" t="s">
        <v>415</v>
      </c>
      <c r="B12" s="2" t="s">
        <v>416</v>
      </c>
      <c r="C12" s="2" t="s">
        <v>417</v>
      </c>
      <c r="D12" s="2" t="s">
        <v>418</v>
      </c>
      <c r="E12" s="2" t="s">
        <v>419</v>
      </c>
      <c r="F12" s="2" t="s">
        <v>17</v>
      </c>
    </row>
    <row r="13" spans="1:11" ht="36">
      <c r="A13" s="2" t="s">
        <v>420</v>
      </c>
      <c r="B13" s="2" t="s">
        <v>421</v>
      </c>
      <c r="C13" s="2" t="s">
        <v>422</v>
      </c>
      <c r="D13" s="2" t="s">
        <v>423</v>
      </c>
      <c r="E13" s="2" t="s">
        <v>424</v>
      </c>
      <c r="F13" s="2" t="s">
        <v>17</v>
      </c>
    </row>
    <row r="14" spans="1:11" ht="60">
      <c r="A14" s="2" t="s">
        <v>425</v>
      </c>
      <c r="B14" s="2" t="s">
        <v>426</v>
      </c>
      <c r="C14" s="2" t="s">
        <v>427</v>
      </c>
      <c r="D14" s="2" t="s">
        <v>428</v>
      </c>
      <c r="E14" s="2" t="s">
        <v>429</v>
      </c>
      <c r="F14" s="2" t="s">
        <v>340</v>
      </c>
    </row>
    <row r="15" spans="1:11" ht="36">
      <c r="A15" s="2" t="s">
        <v>430</v>
      </c>
      <c r="B15" s="2" t="s">
        <v>431</v>
      </c>
      <c r="C15" s="2" t="s">
        <v>432</v>
      </c>
      <c r="D15" s="2" t="s">
        <v>433</v>
      </c>
      <c r="E15" s="2" t="s">
        <v>434</v>
      </c>
      <c r="F15" s="2" t="s">
        <v>333</v>
      </c>
    </row>
    <row r="16" spans="1:11" ht="36">
      <c r="A16" s="2" t="s">
        <v>435</v>
      </c>
      <c r="B16" s="2" t="s">
        <v>436</v>
      </c>
      <c r="C16" s="2" t="s">
        <v>437</v>
      </c>
      <c r="D16" s="2" t="s">
        <v>438</v>
      </c>
      <c r="E16" s="2" t="s">
        <v>439</v>
      </c>
      <c r="F16" s="2" t="s">
        <v>440</v>
      </c>
    </row>
    <row r="18" spans="1:11" ht="21.95" customHeight="1">
      <c r="A18" s="30" t="s">
        <v>441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ht="24">
      <c r="A19" s="1" t="s">
        <v>100</v>
      </c>
      <c r="B19" s="1" t="s">
        <v>442</v>
      </c>
      <c r="C19" s="1" t="s">
        <v>443</v>
      </c>
      <c r="D19" s="1" t="s">
        <v>444</v>
      </c>
      <c r="E19" s="1" t="s">
        <v>445</v>
      </c>
      <c r="F19" s="1" t="s">
        <v>446</v>
      </c>
      <c r="G19" s="1" t="s">
        <v>447</v>
      </c>
      <c r="H19" s="1" t="s">
        <v>229</v>
      </c>
    </row>
    <row r="20" spans="1:11" ht="48">
      <c r="A20" s="2" t="s">
        <v>113</v>
      </c>
      <c r="B20" s="2" t="s">
        <v>448</v>
      </c>
      <c r="C20" s="2" t="s">
        <v>449</v>
      </c>
      <c r="D20" s="2" t="s">
        <v>450</v>
      </c>
      <c r="E20" s="2" t="s">
        <v>451</v>
      </c>
      <c r="F20" s="2" t="s">
        <v>105</v>
      </c>
      <c r="G20" s="2" t="s">
        <v>452</v>
      </c>
      <c r="H20" s="2" t="s">
        <v>453</v>
      </c>
    </row>
    <row r="21" spans="1:11" ht="60">
      <c r="A21" s="2" t="s">
        <v>115</v>
      </c>
      <c r="B21" s="2" t="s">
        <v>454</v>
      </c>
      <c r="C21" s="2" t="s">
        <v>455</v>
      </c>
      <c r="D21" s="2" t="s">
        <v>456</v>
      </c>
      <c r="E21" s="2" t="s">
        <v>451</v>
      </c>
      <c r="F21" s="2" t="s">
        <v>457</v>
      </c>
      <c r="G21" s="2" t="s">
        <v>458</v>
      </c>
      <c r="H21" s="2" t="s">
        <v>459</v>
      </c>
    </row>
    <row r="22" spans="1:11" ht="60">
      <c r="A22" s="2" t="s">
        <v>117</v>
      </c>
      <c r="B22" s="2" t="s">
        <v>460</v>
      </c>
      <c r="C22" s="2" t="s">
        <v>461</v>
      </c>
      <c r="D22" s="2" t="s">
        <v>462</v>
      </c>
      <c r="E22" s="2" t="s">
        <v>463</v>
      </c>
      <c r="F22" s="2" t="s">
        <v>464</v>
      </c>
      <c r="G22" s="2" t="s">
        <v>337</v>
      </c>
      <c r="H22" s="2" t="s">
        <v>465</v>
      </c>
    </row>
    <row r="23" spans="1:11" ht="60">
      <c r="A23" s="2" t="s">
        <v>119</v>
      </c>
      <c r="B23" s="2" t="s">
        <v>466</v>
      </c>
      <c r="C23" s="2" t="s">
        <v>467</v>
      </c>
      <c r="D23" s="2" t="s">
        <v>468</v>
      </c>
      <c r="E23" s="2" t="s">
        <v>469</v>
      </c>
      <c r="F23" s="2" t="s">
        <v>470</v>
      </c>
      <c r="G23" s="2" t="s">
        <v>471</v>
      </c>
      <c r="H23" s="2" t="s">
        <v>472</v>
      </c>
    </row>
    <row r="25" spans="1:11" ht="21.95" customHeight="1">
      <c r="A25" s="30" t="s">
        <v>473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>
      <c r="A26" s="1" t="s">
        <v>204</v>
      </c>
      <c r="B26" s="1" t="s">
        <v>474</v>
      </c>
      <c r="C26" s="1" t="s">
        <v>475</v>
      </c>
      <c r="D26" s="1" t="s">
        <v>476</v>
      </c>
      <c r="E26" s="1" t="s">
        <v>477</v>
      </c>
      <c r="F26" s="1" t="s">
        <v>478</v>
      </c>
      <c r="G26" s="1" t="s">
        <v>479</v>
      </c>
      <c r="H26" s="1" t="s">
        <v>414</v>
      </c>
    </row>
    <row r="27" spans="1:11">
      <c r="A27" s="2" t="s">
        <v>480</v>
      </c>
      <c r="B27" s="3">
        <v>5</v>
      </c>
      <c r="C27" s="3">
        <v>4</v>
      </c>
      <c r="D27" s="3">
        <v>4</v>
      </c>
      <c r="E27" s="3">
        <v>2</v>
      </c>
      <c r="F27" s="22">
        <f>B27*C27*D27/E27</f>
        <v>40</v>
      </c>
      <c r="G27" s="23">
        <f>RANK(F27,$F$27:$F$31,0)</f>
        <v>1</v>
      </c>
      <c r="H27" s="2" t="s">
        <v>481</v>
      </c>
    </row>
    <row r="28" spans="1:11">
      <c r="A28" s="2" t="s">
        <v>482</v>
      </c>
      <c r="B28" s="3">
        <v>4</v>
      </c>
      <c r="C28" s="3">
        <v>4</v>
      </c>
      <c r="D28" s="3">
        <v>4</v>
      </c>
      <c r="E28" s="3">
        <v>2</v>
      </c>
      <c r="F28" s="22">
        <f>B28*C28*D28/E28</f>
        <v>32</v>
      </c>
      <c r="G28" s="23">
        <f>RANK(F28,$F$27:$F$31,0)</f>
        <v>2</v>
      </c>
      <c r="H28" s="2" t="s">
        <v>483</v>
      </c>
    </row>
    <row r="29" spans="1:11">
      <c r="A29" s="2" t="s">
        <v>484</v>
      </c>
      <c r="B29" s="3">
        <v>4</v>
      </c>
      <c r="C29" s="3">
        <v>4</v>
      </c>
      <c r="D29" s="3">
        <v>3</v>
      </c>
      <c r="E29" s="3">
        <v>3</v>
      </c>
      <c r="F29" s="22">
        <f>B29*C29*D29/E29</f>
        <v>16</v>
      </c>
      <c r="G29" s="23">
        <f>RANK(F29,$F$27:$F$31,0)</f>
        <v>3</v>
      </c>
      <c r="H29" s="2" t="s">
        <v>485</v>
      </c>
    </row>
    <row r="30" spans="1:11">
      <c r="A30" s="2" t="s">
        <v>223</v>
      </c>
      <c r="B30" s="3">
        <v>3</v>
      </c>
      <c r="C30" s="3">
        <v>4</v>
      </c>
      <c r="D30" s="3">
        <v>3</v>
      </c>
      <c r="E30" s="3">
        <v>3</v>
      </c>
      <c r="F30" s="22">
        <f>B30*C30*D30/E30</f>
        <v>12</v>
      </c>
      <c r="G30" s="23">
        <f>RANK(F30,$F$27:$F$31,0)</f>
        <v>4</v>
      </c>
      <c r="H30" s="2" t="s">
        <v>486</v>
      </c>
    </row>
    <row r="31" spans="1:11">
      <c r="A31" s="2" t="s">
        <v>487</v>
      </c>
      <c r="B31" s="3">
        <v>2</v>
      </c>
      <c r="C31" s="3">
        <v>4</v>
      </c>
      <c r="D31" s="3">
        <v>3</v>
      </c>
      <c r="E31" s="3">
        <v>4</v>
      </c>
      <c r="F31" s="22">
        <f>B31*C31*D31/E31</f>
        <v>6</v>
      </c>
      <c r="G31" s="23">
        <f>RANK(F31,$F$27:$F$31,0)</f>
        <v>5</v>
      </c>
      <c r="H31" s="2" t="s">
        <v>488</v>
      </c>
    </row>
  </sheetData>
  <mergeCells count="6">
    <mergeCell ref="A25:K25"/>
    <mergeCell ref="A1:K1"/>
    <mergeCell ref="A2:K2"/>
    <mergeCell ref="A4:K4"/>
    <mergeCell ref="A10:K10"/>
    <mergeCell ref="A18:K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workbookViewId="0"/>
  </sheetViews>
  <sheetFormatPr defaultRowHeight="14.25"/>
  <cols>
    <col min="1" max="1" width="16" customWidth="1"/>
    <col min="2" max="2" width="36" customWidth="1"/>
    <col min="3" max="3" width="40" customWidth="1"/>
    <col min="4" max="4" width="38" customWidth="1"/>
    <col min="5" max="5" width="26" customWidth="1"/>
    <col min="6" max="6" width="32" customWidth="1"/>
    <col min="7" max="7" width="12" customWidth="1"/>
    <col min="8" max="8" width="14" customWidth="1"/>
  </cols>
  <sheetData>
    <row r="1" spans="1:10" ht="26.1" customHeight="1">
      <c r="A1" s="28" t="s">
        <v>489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9" t="s">
        <v>490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21.95" customHeight="1">
      <c r="A4" s="30" t="s">
        <v>491</v>
      </c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 t="s">
        <v>492</v>
      </c>
      <c r="B5" s="1" t="s">
        <v>493</v>
      </c>
      <c r="C5" s="1" t="s">
        <v>447</v>
      </c>
      <c r="D5" s="1" t="s">
        <v>315</v>
      </c>
      <c r="E5" s="1" t="s">
        <v>494</v>
      </c>
      <c r="F5" s="1" t="s">
        <v>10</v>
      </c>
      <c r="G5" s="1" t="s">
        <v>479</v>
      </c>
      <c r="H5" s="1" t="s">
        <v>54</v>
      </c>
    </row>
    <row r="6" spans="1:10" ht="24">
      <c r="A6" s="2" t="s">
        <v>495</v>
      </c>
      <c r="B6" s="2" t="s">
        <v>496</v>
      </c>
      <c r="C6" s="2" t="s">
        <v>497</v>
      </c>
      <c r="D6" s="2" t="s">
        <v>498</v>
      </c>
      <c r="E6" s="2" t="s">
        <v>499</v>
      </c>
      <c r="F6" s="2" t="s">
        <v>336</v>
      </c>
      <c r="G6" s="2" t="s">
        <v>264</v>
      </c>
      <c r="H6" s="2" t="s">
        <v>500</v>
      </c>
    </row>
    <row r="7" spans="1:10" ht="24">
      <c r="A7" s="2" t="s">
        <v>501</v>
      </c>
      <c r="B7" s="2" t="s">
        <v>502</v>
      </c>
      <c r="C7" s="2" t="s">
        <v>503</v>
      </c>
      <c r="D7" s="2" t="s">
        <v>504</v>
      </c>
      <c r="E7" s="2" t="s">
        <v>505</v>
      </c>
      <c r="F7" s="2" t="s">
        <v>506</v>
      </c>
      <c r="G7" s="2" t="s">
        <v>264</v>
      </c>
      <c r="H7" s="2" t="s">
        <v>500</v>
      </c>
    </row>
    <row r="8" spans="1:10" ht="24">
      <c r="A8" s="2" t="s">
        <v>507</v>
      </c>
      <c r="B8" s="2" t="s">
        <v>508</v>
      </c>
      <c r="C8" s="2" t="s">
        <v>509</v>
      </c>
      <c r="D8" s="2" t="s">
        <v>510</v>
      </c>
      <c r="E8" s="2" t="s">
        <v>511</v>
      </c>
      <c r="F8" s="2" t="s">
        <v>347</v>
      </c>
      <c r="G8" s="2" t="s">
        <v>512</v>
      </c>
      <c r="H8" s="2" t="s">
        <v>500</v>
      </c>
    </row>
    <row r="9" spans="1:10">
      <c r="A9" s="2" t="s">
        <v>513</v>
      </c>
      <c r="B9" s="2" t="s">
        <v>514</v>
      </c>
      <c r="C9" s="2" t="s">
        <v>515</v>
      </c>
      <c r="D9" s="2" t="s">
        <v>516</v>
      </c>
      <c r="E9" s="2" t="s">
        <v>517</v>
      </c>
      <c r="F9" s="2" t="s">
        <v>518</v>
      </c>
      <c r="G9" s="2" t="s">
        <v>512</v>
      </c>
      <c r="H9" s="2" t="s">
        <v>500</v>
      </c>
    </row>
    <row r="10" spans="1:10">
      <c r="A10" s="2" t="s">
        <v>519</v>
      </c>
      <c r="B10" s="2" t="s">
        <v>520</v>
      </c>
      <c r="C10" s="2" t="s">
        <v>521</v>
      </c>
      <c r="D10" s="2" t="s">
        <v>522</v>
      </c>
      <c r="E10" s="2" t="s">
        <v>523</v>
      </c>
      <c r="F10" s="2" t="s">
        <v>524</v>
      </c>
      <c r="G10" s="2" t="s">
        <v>512</v>
      </c>
      <c r="H10" s="2" t="s">
        <v>500</v>
      </c>
    </row>
    <row r="11" spans="1:10">
      <c r="A11" s="2" t="s">
        <v>525</v>
      </c>
      <c r="B11" s="2" t="s">
        <v>526</v>
      </c>
      <c r="C11" s="2" t="s">
        <v>527</v>
      </c>
      <c r="D11" s="2" t="s">
        <v>344</v>
      </c>
      <c r="E11" s="2" t="s">
        <v>528</v>
      </c>
      <c r="F11" s="2" t="s">
        <v>347</v>
      </c>
      <c r="G11" s="2" t="s">
        <v>264</v>
      </c>
      <c r="H11" s="2" t="s">
        <v>500</v>
      </c>
    </row>
    <row r="13" spans="1:10" ht="21.95" customHeight="1">
      <c r="A13" s="30" t="s">
        <v>529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10">
      <c r="A14" s="1" t="s">
        <v>530</v>
      </c>
      <c r="B14" s="1" t="s">
        <v>531</v>
      </c>
      <c r="C14" s="1" t="s">
        <v>532</v>
      </c>
      <c r="D14" s="1" t="s">
        <v>124</v>
      </c>
      <c r="E14" s="1" t="s">
        <v>10</v>
      </c>
      <c r="F14" s="1" t="s">
        <v>54</v>
      </c>
    </row>
    <row r="15" spans="1:10">
      <c r="A15" s="2" t="s">
        <v>533</v>
      </c>
      <c r="B15" s="2" t="s">
        <v>110</v>
      </c>
      <c r="C15" s="2" t="s">
        <v>534</v>
      </c>
      <c r="D15" s="2" t="s">
        <v>535</v>
      </c>
      <c r="E15" s="2" t="s">
        <v>28</v>
      </c>
      <c r="F15" s="2" t="s">
        <v>536</v>
      </c>
    </row>
    <row r="16" spans="1:10">
      <c r="A16" s="2" t="s">
        <v>537</v>
      </c>
      <c r="B16" s="2" t="s">
        <v>105</v>
      </c>
      <c r="C16" s="2" t="s">
        <v>538</v>
      </c>
      <c r="D16" s="2" t="s">
        <v>539</v>
      </c>
      <c r="E16" s="2" t="s">
        <v>17</v>
      </c>
      <c r="F16" s="2" t="s">
        <v>536</v>
      </c>
    </row>
    <row r="17" spans="1:10">
      <c r="A17" s="2" t="s">
        <v>117</v>
      </c>
      <c r="B17" s="2" t="s">
        <v>337</v>
      </c>
      <c r="C17" s="2" t="s">
        <v>339</v>
      </c>
      <c r="D17" s="2" t="s">
        <v>540</v>
      </c>
      <c r="E17" s="2" t="s">
        <v>336</v>
      </c>
      <c r="F17" s="2" t="s">
        <v>536</v>
      </c>
    </row>
    <row r="18" spans="1:10">
      <c r="A18" s="2" t="s">
        <v>324</v>
      </c>
      <c r="B18" s="2" t="s">
        <v>541</v>
      </c>
      <c r="C18" s="2" t="s">
        <v>542</v>
      </c>
      <c r="D18" s="2" t="s">
        <v>543</v>
      </c>
      <c r="E18" s="2" t="s">
        <v>544</v>
      </c>
      <c r="F18" s="2" t="s">
        <v>536</v>
      </c>
    </row>
    <row r="19" spans="1:10">
      <c r="A19" s="2" t="s">
        <v>545</v>
      </c>
      <c r="B19" s="2" t="s">
        <v>546</v>
      </c>
      <c r="C19" s="2" t="s">
        <v>547</v>
      </c>
      <c r="D19" s="2" t="s">
        <v>548</v>
      </c>
      <c r="E19" s="2" t="s">
        <v>17</v>
      </c>
      <c r="F19" s="2" t="s">
        <v>536</v>
      </c>
    </row>
    <row r="20" spans="1:10">
      <c r="A20" s="2" t="s">
        <v>549</v>
      </c>
      <c r="B20" s="2" t="s">
        <v>550</v>
      </c>
      <c r="C20" s="2" t="s">
        <v>551</v>
      </c>
      <c r="D20" s="2" t="s">
        <v>552</v>
      </c>
      <c r="E20" s="2" t="s">
        <v>553</v>
      </c>
      <c r="F20" s="2" t="s">
        <v>536</v>
      </c>
    </row>
    <row r="22" spans="1:10" ht="21.95" customHeight="1">
      <c r="A22" s="30" t="s">
        <v>554</v>
      </c>
      <c r="B22" s="30"/>
      <c r="C22" s="30"/>
      <c r="D22" s="30"/>
      <c r="E22" s="30"/>
      <c r="F22" s="30"/>
      <c r="G22" s="30"/>
      <c r="H22" s="30"/>
      <c r="I22" s="30"/>
      <c r="J22" s="30"/>
    </row>
    <row r="23" spans="1:10">
      <c r="A23" s="1" t="s">
        <v>205</v>
      </c>
      <c r="B23" s="1" t="s">
        <v>555</v>
      </c>
      <c r="C23" s="1" t="s">
        <v>556</v>
      </c>
      <c r="D23" s="1" t="s">
        <v>557</v>
      </c>
      <c r="E23" s="1" t="s">
        <v>374</v>
      </c>
      <c r="F23" s="1" t="s">
        <v>558</v>
      </c>
    </row>
    <row r="24" spans="1:10">
      <c r="A24" s="2" t="s">
        <v>559</v>
      </c>
      <c r="B24" s="2" t="s">
        <v>560</v>
      </c>
      <c r="C24" s="2" t="s">
        <v>561</v>
      </c>
      <c r="D24" s="2" t="s">
        <v>562</v>
      </c>
      <c r="E24" s="2" t="s">
        <v>563</v>
      </c>
      <c r="F24" s="2" t="s">
        <v>564</v>
      </c>
    </row>
    <row r="25" spans="1:10">
      <c r="A25" s="2" t="s">
        <v>565</v>
      </c>
      <c r="B25" s="2" t="s">
        <v>566</v>
      </c>
      <c r="C25" s="2" t="s">
        <v>567</v>
      </c>
      <c r="D25" s="2" t="s">
        <v>568</v>
      </c>
      <c r="E25" s="2" t="s">
        <v>110</v>
      </c>
      <c r="F25" s="2" t="s">
        <v>569</v>
      </c>
    </row>
    <row r="26" spans="1:10">
      <c r="A26" s="2" t="s">
        <v>570</v>
      </c>
      <c r="B26" s="2" t="s">
        <v>571</v>
      </c>
      <c r="C26" s="2" t="s">
        <v>572</v>
      </c>
      <c r="D26" s="2" t="s">
        <v>573</v>
      </c>
      <c r="E26" s="2" t="s">
        <v>574</v>
      </c>
      <c r="F26" s="2" t="s">
        <v>575</v>
      </c>
    </row>
    <row r="27" spans="1:10">
      <c r="A27" s="2" t="s">
        <v>576</v>
      </c>
      <c r="B27" s="2" t="s">
        <v>577</v>
      </c>
      <c r="C27" s="2" t="s">
        <v>578</v>
      </c>
      <c r="D27" s="2" t="s">
        <v>579</v>
      </c>
      <c r="E27" s="2" t="s">
        <v>580</v>
      </c>
      <c r="F27" s="2" t="s">
        <v>581</v>
      </c>
    </row>
  </sheetData>
  <mergeCells count="5">
    <mergeCell ref="A1:J1"/>
    <mergeCell ref="A2:J2"/>
    <mergeCell ref="A4:J4"/>
    <mergeCell ref="A13:J13"/>
    <mergeCell ref="A22:J22"/>
  </mergeCells>
  <dataValidations count="2">
    <dataValidation type="list" sqref="H6:H11" xr:uid="{00000000-0002-0000-0800-000000000000}">
      <formula1>"Monitor,Pass,Modify,Stop"</formula1>
    </dataValidation>
    <dataValidation type="list" sqref="F15:F20" xr:uid="{00000000-0002-0000-0800-000001000000}">
      <formula1>"PENDING PILOT,PASS,MODIFY,STOP"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"/>
  <sheetViews>
    <sheetView workbookViewId="0"/>
  </sheetViews>
  <sheetFormatPr defaultRowHeight="14.25"/>
  <cols>
    <col min="1" max="1" width="30" customWidth="1"/>
    <col min="2" max="2" width="42" customWidth="1"/>
    <col min="3" max="3" width="44" customWidth="1"/>
    <col min="4" max="4" width="36" customWidth="1"/>
    <col min="5" max="5" width="18" customWidth="1"/>
    <col min="6" max="6" width="30" customWidth="1"/>
  </cols>
  <sheetData>
    <row r="1" spans="1:6" ht="26.1" customHeight="1">
      <c r="A1" s="28" t="s">
        <v>582</v>
      </c>
      <c r="B1" s="28"/>
      <c r="C1" s="28"/>
      <c r="D1" s="28"/>
      <c r="E1" s="28"/>
      <c r="F1" s="28"/>
    </row>
    <row r="2" spans="1:6">
      <c r="A2" s="29" t="s">
        <v>583</v>
      </c>
      <c r="B2" s="29"/>
      <c r="C2" s="29"/>
      <c r="D2" s="29"/>
      <c r="E2" s="29"/>
      <c r="F2" s="29"/>
    </row>
    <row r="4" spans="1:6" ht="21.95" customHeight="1">
      <c r="A4" s="30" t="s">
        <v>584</v>
      </c>
      <c r="B4" s="30"/>
      <c r="C4" s="30"/>
      <c r="D4" s="30"/>
      <c r="E4" s="30"/>
      <c r="F4" s="30"/>
    </row>
    <row r="5" spans="1:6">
      <c r="A5" s="1" t="s">
        <v>585</v>
      </c>
      <c r="B5" s="1" t="s">
        <v>586</v>
      </c>
      <c r="C5" s="1" t="s">
        <v>80</v>
      </c>
      <c r="D5" s="1" t="s">
        <v>229</v>
      </c>
      <c r="E5" s="1" t="s">
        <v>587</v>
      </c>
      <c r="F5" s="1" t="s">
        <v>231</v>
      </c>
    </row>
    <row r="6" spans="1:6">
      <c r="A6" s="2" t="s">
        <v>588</v>
      </c>
      <c r="B6" s="2" t="s">
        <v>589</v>
      </c>
      <c r="C6" s="2" t="s">
        <v>590</v>
      </c>
      <c r="D6" s="2" t="s">
        <v>591</v>
      </c>
      <c r="E6" s="2" t="s">
        <v>592</v>
      </c>
      <c r="F6" s="2" t="s">
        <v>593</v>
      </c>
    </row>
    <row r="7" spans="1:6">
      <c r="A7" s="2" t="s">
        <v>594</v>
      </c>
      <c r="B7" s="2" t="s">
        <v>358</v>
      </c>
      <c r="C7" s="2" t="s">
        <v>595</v>
      </c>
      <c r="D7" s="2" t="s">
        <v>596</v>
      </c>
      <c r="E7" s="2" t="s">
        <v>597</v>
      </c>
      <c r="F7" s="2" t="s">
        <v>593</v>
      </c>
    </row>
    <row r="8" spans="1:6">
      <c r="A8" s="2" t="s">
        <v>598</v>
      </c>
      <c r="B8" s="2" t="s">
        <v>599</v>
      </c>
      <c r="C8" s="2" t="s">
        <v>600</v>
      </c>
      <c r="D8" s="2" t="s">
        <v>601</v>
      </c>
      <c r="E8" s="2" t="s">
        <v>592</v>
      </c>
      <c r="F8" s="2" t="s">
        <v>602</v>
      </c>
    </row>
    <row r="9" spans="1:6">
      <c r="A9" s="2" t="s">
        <v>603</v>
      </c>
      <c r="B9" s="2" t="s">
        <v>604</v>
      </c>
      <c r="C9" s="2" t="s">
        <v>605</v>
      </c>
      <c r="D9" s="2" t="s">
        <v>606</v>
      </c>
      <c r="E9" s="2" t="s">
        <v>597</v>
      </c>
      <c r="F9" s="2" t="s">
        <v>607</v>
      </c>
    </row>
    <row r="10" spans="1:6">
      <c r="A10" s="2" t="s">
        <v>105</v>
      </c>
      <c r="B10" s="2" t="s">
        <v>608</v>
      </c>
      <c r="C10" s="2" t="s">
        <v>609</v>
      </c>
      <c r="D10" s="2" t="s">
        <v>610</v>
      </c>
      <c r="E10" s="2" t="s">
        <v>611</v>
      </c>
      <c r="F10" s="2" t="s">
        <v>607</v>
      </c>
    </row>
    <row r="11" spans="1:6">
      <c r="A11" s="2" t="s">
        <v>136</v>
      </c>
      <c r="B11" s="2" t="s">
        <v>137</v>
      </c>
      <c r="C11" s="2" t="s">
        <v>612</v>
      </c>
      <c r="D11" s="2" t="s">
        <v>613</v>
      </c>
      <c r="E11" s="2" t="s">
        <v>33</v>
      </c>
      <c r="F11" s="2" t="s">
        <v>607</v>
      </c>
    </row>
    <row r="12" spans="1:6">
      <c r="A12" s="2" t="s">
        <v>242</v>
      </c>
      <c r="B12" s="2" t="s">
        <v>142</v>
      </c>
      <c r="C12" s="2" t="s">
        <v>614</v>
      </c>
      <c r="D12" s="2" t="s">
        <v>615</v>
      </c>
      <c r="E12" s="2" t="s">
        <v>33</v>
      </c>
      <c r="F12" s="2" t="s">
        <v>616</v>
      </c>
    </row>
    <row r="13" spans="1:6">
      <c r="A13" s="2" t="s">
        <v>147</v>
      </c>
      <c r="B13" s="2" t="s">
        <v>617</v>
      </c>
      <c r="C13" s="2" t="s">
        <v>149</v>
      </c>
      <c r="D13" s="2" t="s">
        <v>150</v>
      </c>
      <c r="E13" s="2" t="s">
        <v>618</v>
      </c>
      <c r="F13" s="2" t="s">
        <v>607</v>
      </c>
    </row>
    <row r="14" spans="1:6">
      <c r="A14" s="2" t="s">
        <v>109</v>
      </c>
      <c r="B14" s="2" t="s">
        <v>619</v>
      </c>
      <c r="C14" s="2" t="s">
        <v>153</v>
      </c>
      <c r="D14" s="2" t="s">
        <v>620</v>
      </c>
      <c r="E14" s="2" t="s">
        <v>33</v>
      </c>
      <c r="F14" s="2" t="s">
        <v>616</v>
      </c>
    </row>
    <row r="15" spans="1:6">
      <c r="A15" s="2" t="s">
        <v>110</v>
      </c>
      <c r="B15" s="2" t="s">
        <v>621</v>
      </c>
      <c r="C15" s="2" t="s">
        <v>156</v>
      </c>
      <c r="D15" s="2" t="s">
        <v>622</v>
      </c>
      <c r="E15" s="2" t="s">
        <v>33</v>
      </c>
      <c r="F15" s="2" t="s">
        <v>616</v>
      </c>
    </row>
    <row r="16" spans="1:6">
      <c r="A16" s="2" t="s">
        <v>623</v>
      </c>
      <c r="B16" s="2" t="s">
        <v>266</v>
      </c>
      <c r="C16" s="2" t="s">
        <v>624</v>
      </c>
      <c r="D16" s="2" t="s">
        <v>625</v>
      </c>
      <c r="E16" s="2" t="s">
        <v>626</v>
      </c>
      <c r="F16" s="2" t="s">
        <v>158</v>
      </c>
    </row>
    <row r="17" spans="1:6" ht="24">
      <c r="A17" s="2" t="s">
        <v>470</v>
      </c>
      <c r="B17" s="2" t="s">
        <v>627</v>
      </c>
      <c r="C17" s="2" t="s">
        <v>628</v>
      </c>
      <c r="D17" s="2" t="s">
        <v>629</v>
      </c>
      <c r="E17" s="2" t="s">
        <v>630</v>
      </c>
      <c r="F17" s="2" t="s">
        <v>158</v>
      </c>
    </row>
    <row r="18" spans="1:6">
      <c r="A18" s="2" t="s">
        <v>631</v>
      </c>
      <c r="B18" s="2" t="s">
        <v>632</v>
      </c>
      <c r="C18" s="2" t="s">
        <v>633</v>
      </c>
      <c r="D18" s="2" t="s">
        <v>634</v>
      </c>
      <c r="E18" s="2" t="s">
        <v>635</v>
      </c>
      <c r="F18" s="2" t="s">
        <v>607</v>
      </c>
    </row>
    <row r="20" spans="1:6" ht="21.95" customHeight="1">
      <c r="A20" s="30" t="s">
        <v>636</v>
      </c>
      <c r="B20" s="30"/>
      <c r="C20" s="30"/>
      <c r="D20" s="30"/>
      <c r="E20" s="30"/>
      <c r="F20" s="30"/>
    </row>
    <row r="21" spans="1:6">
      <c r="A21" s="1" t="s">
        <v>585</v>
      </c>
      <c r="B21" s="1" t="s">
        <v>586</v>
      </c>
      <c r="C21" s="1" t="s">
        <v>637</v>
      </c>
      <c r="D21" s="1" t="s">
        <v>229</v>
      </c>
      <c r="E21" s="1" t="s">
        <v>54</v>
      </c>
      <c r="F21" s="1" t="s">
        <v>638</v>
      </c>
    </row>
    <row r="22" spans="1:6">
      <c r="A22" s="2" t="s">
        <v>639</v>
      </c>
      <c r="B22" s="2" t="s">
        <v>640</v>
      </c>
      <c r="C22" s="2" t="s">
        <v>641</v>
      </c>
      <c r="D22" s="2" t="s">
        <v>642</v>
      </c>
      <c r="E22" s="2" t="s">
        <v>42</v>
      </c>
      <c r="F22" s="2" t="s">
        <v>643</v>
      </c>
    </row>
    <row r="23" spans="1:6">
      <c r="A23" s="2" t="s">
        <v>644</v>
      </c>
      <c r="B23" s="2" t="s">
        <v>645</v>
      </c>
      <c r="C23" s="2" t="s">
        <v>646</v>
      </c>
      <c r="D23" s="2" t="s">
        <v>647</v>
      </c>
      <c r="E23" s="2" t="s">
        <v>42</v>
      </c>
      <c r="F23" s="2" t="s">
        <v>648</v>
      </c>
    </row>
    <row r="24" spans="1:6">
      <c r="A24" s="2" t="s">
        <v>649</v>
      </c>
      <c r="B24" s="2" t="s">
        <v>650</v>
      </c>
      <c r="C24" s="2" t="s">
        <v>651</v>
      </c>
      <c r="D24" s="2" t="s">
        <v>245</v>
      </c>
      <c r="E24" s="2" t="s">
        <v>42</v>
      </c>
      <c r="F24" s="2" t="s">
        <v>652</v>
      </c>
    </row>
    <row r="25" spans="1:6">
      <c r="A25" s="2" t="s">
        <v>110</v>
      </c>
      <c r="B25" s="2" t="s">
        <v>653</v>
      </c>
      <c r="C25" s="2" t="s">
        <v>654</v>
      </c>
      <c r="D25" s="2" t="s">
        <v>655</v>
      </c>
      <c r="E25" s="2" t="s">
        <v>42</v>
      </c>
      <c r="F25" s="2" t="s">
        <v>656</v>
      </c>
    </row>
    <row r="26" spans="1:6">
      <c r="A26" s="2" t="s">
        <v>657</v>
      </c>
      <c r="B26" s="2" t="s">
        <v>658</v>
      </c>
      <c r="C26" s="2" t="s">
        <v>659</v>
      </c>
      <c r="D26" s="2" t="s">
        <v>660</v>
      </c>
      <c r="E26" s="2" t="s">
        <v>42</v>
      </c>
      <c r="F26" s="2" t="s">
        <v>661</v>
      </c>
    </row>
    <row r="27" spans="1:6">
      <c r="A27" s="2" t="s">
        <v>662</v>
      </c>
      <c r="B27" s="2" t="s">
        <v>663</v>
      </c>
      <c r="C27" s="2" t="s">
        <v>664</v>
      </c>
      <c r="D27" s="2" t="s">
        <v>665</v>
      </c>
      <c r="E27" s="2" t="s">
        <v>42</v>
      </c>
      <c r="F27" s="2" t="s">
        <v>666</v>
      </c>
    </row>
    <row r="28" spans="1:6">
      <c r="A28" s="2" t="s">
        <v>667</v>
      </c>
      <c r="B28" s="2" t="s">
        <v>668</v>
      </c>
      <c r="C28" s="2" t="s">
        <v>669</v>
      </c>
      <c r="D28" s="2" t="s">
        <v>670</v>
      </c>
      <c r="E28" s="2" t="s">
        <v>259</v>
      </c>
      <c r="F28" s="2" t="s">
        <v>671</v>
      </c>
    </row>
  </sheetData>
  <mergeCells count="4">
    <mergeCell ref="A1:F1"/>
    <mergeCell ref="A2:F2"/>
    <mergeCell ref="A4:F4"/>
    <mergeCell ref="A20:F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7"/>
  <sheetViews>
    <sheetView workbookViewId="0"/>
  </sheetViews>
  <sheetFormatPr defaultRowHeight="14.25"/>
  <cols>
    <col min="1" max="1" width="22" customWidth="1"/>
    <col min="2" max="2" width="24" customWidth="1"/>
    <col min="3" max="3" width="28" customWidth="1"/>
    <col min="4" max="4" width="30" customWidth="1"/>
    <col min="5" max="5" width="24" customWidth="1"/>
    <col min="6" max="6" width="26" customWidth="1"/>
    <col min="7" max="7" width="12" customWidth="1"/>
    <col min="8" max="8" width="26" customWidth="1"/>
    <col min="9" max="9" width="18" customWidth="1"/>
    <col min="10" max="10" width="24" customWidth="1"/>
    <col min="11" max="11" width="30" customWidth="1"/>
    <col min="12" max="12" width="34" customWidth="1"/>
    <col min="13" max="13" width="17" customWidth="1"/>
    <col min="14" max="14" width="24" customWidth="1"/>
  </cols>
  <sheetData>
    <row r="1" spans="1:14" ht="26.1" customHeight="1">
      <c r="A1" s="28" t="s">
        <v>672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6.1" customHeight="1">
      <c r="A2" s="32" t="s">
        <v>673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>
      <c r="A3" s="29" t="s">
        <v>674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5" spans="1:14" ht="21.95" customHeight="1">
      <c r="A5" s="30" t="s">
        <v>675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>
      <c r="A6" s="1" t="s">
        <v>676</v>
      </c>
      <c r="B6" s="1" t="s">
        <v>677</v>
      </c>
      <c r="C6" s="1" t="s">
        <v>678</v>
      </c>
      <c r="D6" s="1" t="s">
        <v>679</v>
      </c>
      <c r="E6" s="1" t="s">
        <v>680</v>
      </c>
      <c r="F6" s="1" t="s">
        <v>681</v>
      </c>
      <c r="G6" s="1" t="s">
        <v>682</v>
      </c>
      <c r="H6" s="1" t="s">
        <v>683</v>
      </c>
    </row>
    <row r="7" spans="1:14" ht="36">
      <c r="A7" s="2" t="s">
        <v>684</v>
      </c>
      <c r="B7" s="2" t="s">
        <v>685</v>
      </c>
      <c r="C7" s="2"/>
      <c r="D7" s="2" t="s">
        <v>686</v>
      </c>
      <c r="E7" s="2" t="s">
        <v>687</v>
      </c>
      <c r="F7" s="2" t="s">
        <v>688</v>
      </c>
      <c r="G7" s="2" t="s">
        <v>689</v>
      </c>
      <c r="H7" s="2" t="s">
        <v>690</v>
      </c>
    </row>
    <row r="8" spans="1:14" ht="24">
      <c r="A8" s="2" t="s">
        <v>691</v>
      </c>
      <c r="B8" s="2" t="s">
        <v>692</v>
      </c>
      <c r="C8" s="2"/>
      <c r="D8" s="2" t="s">
        <v>693</v>
      </c>
      <c r="E8" s="2" t="s">
        <v>327</v>
      </c>
      <c r="F8" s="2" t="s">
        <v>110</v>
      </c>
      <c r="G8" s="2" t="s">
        <v>542</v>
      </c>
      <c r="H8" s="2" t="s">
        <v>694</v>
      </c>
    </row>
    <row r="10" spans="1:14" ht="21.95" customHeight="1">
      <c r="A10" s="30" t="s">
        <v>695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>
      <c r="A11" s="24" t="s">
        <v>696</v>
      </c>
      <c r="B11" s="24" t="s">
        <v>443</v>
      </c>
      <c r="C11" s="24" t="s">
        <v>444</v>
      </c>
      <c r="D11" s="24" t="s">
        <v>697</v>
      </c>
      <c r="E11" s="24" t="s">
        <v>698</v>
      </c>
      <c r="F11" s="24" t="s">
        <v>443</v>
      </c>
      <c r="G11" s="24" t="s">
        <v>444</v>
      </c>
      <c r="H11" s="24" t="s">
        <v>697</v>
      </c>
      <c r="I11" s="24" t="s">
        <v>699</v>
      </c>
      <c r="J11" s="24" t="s">
        <v>443</v>
      </c>
      <c r="K11" s="24" t="s">
        <v>444</v>
      </c>
      <c r="L11" s="24" t="s">
        <v>697</v>
      </c>
      <c r="M11" s="24" t="s">
        <v>700</v>
      </c>
      <c r="N11" s="24" t="s">
        <v>443</v>
      </c>
    </row>
    <row r="12" spans="1:14" ht="48">
      <c r="A12" s="2" t="s">
        <v>701</v>
      </c>
      <c r="B12" s="2" t="s">
        <v>702</v>
      </c>
      <c r="C12" s="2" t="s">
        <v>703</v>
      </c>
      <c r="D12" s="2" t="s">
        <v>704</v>
      </c>
      <c r="E12" s="2" t="s">
        <v>705</v>
      </c>
      <c r="F12" s="2" t="s">
        <v>455</v>
      </c>
      <c r="G12" s="2" t="s">
        <v>456</v>
      </c>
      <c r="H12" s="2" t="s">
        <v>706</v>
      </c>
      <c r="I12" s="2" t="s">
        <v>707</v>
      </c>
      <c r="J12" s="2" t="s">
        <v>461</v>
      </c>
      <c r="K12" s="2" t="s">
        <v>462</v>
      </c>
      <c r="L12" s="2" t="s">
        <v>708</v>
      </c>
      <c r="M12" s="2" t="s">
        <v>709</v>
      </c>
      <c r="N12" s="2" t="s">
        <v>467</v>
      </c>
    </row>
    <row r="13" spans="1:14" ht="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468</v>
      </c>
      <c r="N13" s="2"/>
    </row>
    <row r="14" spans="1:14" ht="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">
        <v>710</v>
      </c>
      <c r="M14" s="2"/>
      <c r="N14" s="2"/>
    </row>
    <row r="16" spans="1:14" ht="21.95" customHeight="1">
      <c r="A16" s="30" t="s">
        <v>711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>
      <c r="A17" s="1" t="s">
        <v>370</v>
      </c>
      <c r="B17" s="1" t="s">
        <v>412</v>
      </c>
      <c r="C17" s="1" t="s">
        <v>413</v>
      </c>
      <c r="D17" s="1" t="s">
        <v>712</v>
      </c>
      <c r="E17" s="1" t="s">
        <v>713</v>
      </c>
      <c r="F17" s="1" t="s">
        <v>175</v>
      </c>
      <c r="G17" s="1" t="s">
        <v>714</v>
      </c>
      <c r="H17" s="1" t="s">
        <v>715</v>
      </c>
    </row>
    <row r="18" spans="1:14" ht="24">
      <c r="A18" s="2" t="s">
        <v>415</v>
      </c>
      <c r="B18" s="2" t="s">
        <v>417</v>
      </c>
      <c r="C18" s="2" t="s">
        <v>418</v>
      </c>
      <c r="D18" s="2" t="s">
        <v>716</v>
      </c>
      <c r="E18" s="2" t="s">
        <v>717</v>
      </c>
      <c r="F18" s="2" t="s">
        <v>451</v>
      </c>
      <c r="G18" s="2" t="s">
        <v>105</v>
      </c>
      <c r="H18" s="2" t="s">
        <v>718</v>
      </c>
    </row>
    <row r="19" spans="1:14">
      <c r="A19" s="2" t="s">
        <v>420</v>
      </c>
      <c r="B19" s="2" t="s">
        <v>719</v>
      </c>
      <c r="C19" s="2" t="s">
        <v>720</v>
      </c>
      <c r="D19" s="2" t="s">
        <v>721</v>
      </c>
      <c r="E19" s="2" t="s">
        <v>722</v>
      </c>
      <c r="F19" s="2" t="s">
        <v>451</v>
      </c>
      <c r="G19" s="2" t="s">
        <v>385</v>
      </c>
      <c r="H19" s="2" t="s">
        <v>723</v>
      </c>
    </row>
    <row r="20" spans="1:14" ht="24">
      <c r="A20" s="2" t="s">
        <v>724</v>
      </c>
      <c r="B20" s="2" t="s">
        <v>725</v>
      </c>
      <c r="C20" s="2" t="s">
        <v>428</v>
      </c>
      <c r="D20" s="2" t="s">
        <v>726</v>
      </c>
      <c r="E20" s="2" t="s">
        <v>727</v>
      </c>
      <c r="F20" s="2" t="s">
        <v>451</v>
      </c>
      <c r="G20" s="2" t="s">
        <v>110</v>
      </c>
      <c r="H20" s="2" t="s">
        <v>728</v>
      </c>
    </row>
    <row r="21" spans="1:14" ht="24">
      <c r="A21" s="2" t="s">
        <v>430</v>
      </c>
      <c r="B21" s="2" t="s">
        <v>432</v>
      </c>
      <c r="C21" s="2" t="s">
        <v>729</v>
      </c>
      <c r="D21" s="2" t="s">
        <v>730</v>
      </c>
      <c r="E21" s="2" t="s">
        <v>731</v>
      </c>
      <c r="F21" s="2" t="s">
        <v>451</v>
      </c>
      <c r="G21" s="2" t="s">
        <v>732</v>
      </c>
      <c r="H21" s="2" t="s">
        <v>733</v>
      </c>
    </row>
    <row r="22" spans="1:14" ht="24">
      <c r="A22" s="2" t="s">
        <v>734</v>
      </c>
      <c r="B22" s="2" t="s">
        <v>735</v>
      </c>
      <c r="C22" s="2" t="s">
        <v>736</v>
      </c>
      <c r="D22" s="2" t="s">
        <v>737</v>
      </c>
      <c r="E22" s="2" t="s">
        <v>738</v>
      </c>
      <c r="F22" s="2" t="s">
        <v>739</v>
      </c>
      <c r="G22" s="2" t="s">
        <v>740</v>
      </c>
      <c r="H22" s="2" t="s">
        <v>741</v>
      </c>
    </row>
    <row r="24" spans="1:14" ht="21.95" customHeight="1">
      <c r="A24" s="30" t="s">
        <v>742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1:14">
      <c r="A25" s="1" t="s">
        <v>743</v>
      </c>
      <c r="B25" s="1" t="s">
        <v>744</v>
      </c>
      <c r="C25" s="1" t="s">
        <v>745</v>
      </c>
      <c r="D25" s="1" t="s">
        <v>746</v>
      </c>
      <c r="E25" s="1" t="s">
        <v>747</v>
      </c>
      <c r="F25" s="1" t="s">
        <v>748</v>
      </c>
      <c r="G25" s="1" t="s">
        <v>176</v>
      </c>
      <c r="H25" s="1" t="s">
        <v>319</v>
      </c>
      <c r="I25" s="1" t="s">
        <v>159</v>
      </c>
      <c r="J25" s="1" t="s">
        <v>10</v>
      </c>
    </row>
    <row r="26" spans="1:14" ht="36">
      <c r="A26" s="2" t="s">
        <v>749</v>
      </c>
      <c r="B26" s="2" t="s">
        <v>126</v>
      </c>
      <c r="C26" s="2" t="s">
        <v>498</v>
      </c>
      <c r="D26" s="2" t="s">
        <v>341</v>
      </c>
      <c r="E26" s="2" t="s">
        <v>291</v>
      </c>
      <c r="F26" s="2" t="s">
        <v>161</v>
      </c>
      <c r="G26" s="2" t="s">
        <v>177</v>
      </c>
      <c r="H26" s="2" t="s">
        <v>322</v>
      </c>
      <c r="I26" s="2" t="s">
        <v>323</v>
      </c>
      <c r="J26" s="2" t="s">
        <v>166</v>
      </c>
    </row>
    <row r="27" spans="1:14" ht="24">
      <c r="A27" s="2"/>
      <c r="B27" s="2" t="s">
        <v>327</v>
      </c>
      <c r="C27" s="2" t="s">
        <v>337</v>
      </c>
      <c r="D27" s="2" t="s">
        <v>750</v>
      </c>
      <c r="E27" s="2" t="s">
        <v>751</v>
      </c>
      <c r="F27" s="2" t="s">
        <v>328</v>
      </c>
      <c r="G27" s="2" t="s">
        <v>179</v>
      </c>
      <c r="H27" s="2" t="s">
        <v>325</v>
      </c>
      <c r="I27" s="2" t="s">
        <v>326</v>
      </c>
      <c r="J27" s="2" t="s">
        <v>17</v>
      </c>
    </row>
    <row r="28" spans="1:14">
      <c r="A28" s="2"/>
      <c r="B28" s="2" t="s">
        <v>330</v>
      </c>
      <c r="C28" s="2" t="s">
        <v>752</v>
      </c>
      <c r="D28" s="2" t="s">
        <v>753</v>
      </c>
      <c r="E28" s="2" t="s">
        <v>344</v>
      </c>
      <c r="F28" s="2" t="s">
        <v>754</v>
      </c>
      <c r="G28" s="2" t="s">
        <v>755</v>
      </c>
      <c r="H28" s="2" t="s">
        <v>325</v>
      </c>
      <c r="I28" s="2" t="s">
        <v>332</v>
      </c>
      <c r="J28" s="2" t="s">
        <v>756</v>
      </c>
    </row>
    <row r="29" spans="1:14">
      <c r="A29" s="2"/>
      <c r="B29" s="2" t="s">
        <v>757</v>
      </c>
      <c r="C29" s="2" t="s">
        <v>758</v>
      </c>
      <c r="D29" s="2" t="s">
        <v>759</v>
      </c>
      <c r="E29" s="2" t="s">
        <v>760</v>
      </c>
      <c r="F29" s="2" t="s">
        <v>761</v>
      </c>
      <c r="G29" s="2" t="s">
        <v>762</v>
      </c>
      <c r="H29" s="2" t="s">
        <v>322</v>
      </c>
      <c r="I29" s="2" t="s">
        <v>332</v>
      </c>
      <c r="J29" s="2" t="s">
        <v>763</v>
      </c>
    </row>
    <row r="31" spans="1:14" ht="21.95" customHeight="1">
      <c r="A31" s="30" t="s">
        <v>764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4" ht="24">
      <c r="A32" s="25" t="s">
        <v>765</v>
      </c>
      <c r="B32" s="25" t="s">
        <v>766</v>
      </c>
      <c r="C32" s="25" t="s">
        <v>767</v>
      </c>
      <c r="D32" s="25" t="s">
        <v>768</v>
      </c>
    </row>
    <row r="33" spans="1:14" ht="108">
      <c r="A33" s="2" t="s">
        <v>769</v>
      </c>
      <c r="B33" s="2" t="s">
        <v>770</v>
      </c>
      <c r="C33" s="2" t="s">
        <v>771</v>
      </c>
      <c r="D33" s="2" t="s">
        <v>772</v>
      </c>
    </row>
    <row r="34" spans="1:14" ht="36">
      <c r="A34" s="2" t="s">
        <v>773</v>
      </c>
      <c r="B34" s="2" t="s">
        <v>774</v>
      </c>
      <c r="C34" s="2" t="s">
        <v>775</v>
      </c>
      <c r="D34" s="2" t="s">
        <v>776</v>
      </c>
    </row>
    <row r="35" spans="1:14" ht="36">
      <c r="A35" s="2" t="s">
        <v>777</v>
      </c>
      <c r="B35" s="2" t="s">
        <v>778</v>
      </c>
      <c r="C35" s="2" t="s">
        <v>779</v>
      </c>
      <c r="D35" s="2"/>
    </row>
    <row r="37" spans="1:14" ht="21.95" customHeight="1">
      <c r="A37" s="30" t="s">
        <v>780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>
      <c r="A38" s="1" t="s">
        <v>533</v>
      </c>
      <c r="B38" s="1" t="s">
        <v>537</v>
      </c>
      <c r="C38" s="1" t="s">
        <v>117</v>
      </c>
      <c r="D38" s="1" t="s">
        <v>324</v>
      </c>
      <c r="E38" s="1" t="s">
        <v>545</v>
      </c>
      <c r="F38" s="1" t="s">
        <v>17</v>
      </c>
      <c r="G38" s="1" t="s">
        <v>119</v>
      </c>
      <c r="H38" s="1" t="s">
        <v>781</v>
      </c>
      <c r="I38" s="1" t="s">
        <v>54</v>
      </c>
      <c r="J38" s="1" t="s">
        <v>10</v>
      </c>
    </row>
    <row r="39" spans="1:14" ht="36">
      <c r="A39" s="2" t="s">
        <v>386</v>
      </c>
      <c r="B39" s="2" t="s">
        <v>538</v>
      </c>
      <c r="C39" s="2" t="s">
        <v>782</v>
      </c>
      <c r="D39" s="2" t="s">
        <v>783</v>
      </c>
      <c r="E39" s="2" t="s">
        <v>784</v>
      </c>
      <c r="F39" s="2" t="s">
        <v>785</v>
      </c>
      <c r="G39" s="2" t="s">
        <v>786</v>
      </c>
      <c r="H39" s="2" t="s">
        <v>787</v>
      </c>
      <c r="I39" s="2" t="s">
        <v>536</v>
      </c>
      <c r="J39" s="2" t="s">
        <v>788</v>
      </c>
    </row>
    <row r="40" spans="1:14" ht="24">
      <c r="A40" s="2" t="s">
        <v>666</v>
      </c>
      <c r="B40" s="2" t="s">
        <v>789</v>
      </c>
      <c r="C40" s="2" t="s">
        <v>790</v>
      </c>
      <c r="D40" s="2" t="s">
        <v>791</v>
      </c>
      <c r="E40" s="2" t="s">
        <v>792</v>
      </c>
      <c r="F40" s="2" t="s">
        <v>793</v>
      </c>
      <c r="G40" s="2" t="s">
        <v>794</v>
      </c>
      <c r="H40" s="2" t="s">
        <v>795</v>
      </c>
      <c r="I40" s="2"/>
      <c r="J40" s="2"/>
    </row>
    <row r="41" spans="1:14" ht="24">
      <c r="A41" s="2" t="s">
        <v>796</v>
      </c>
      <c r="B41" s="2"/>
      <c r="C41" s="2"/>
      <c r="D41" s="2"/>
      <c r="E41" s="2"/>
      <c r="F41" s="2"/>
      <c r="G41" s="2"/>
      <c r="H41" s="2"/>
      <c r="I41" s="2"/>
      <c r="J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</row>
    <row r="45" spans="1:14" ht="21.95" customHeight="1">
      <c r="A45" s="30" t="s">
        <v>797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spans="1:14">
      <c r="A46" s="1" t="s">
        <v>204</v>
      </c>
      <c r="B46" s="1" t="s">
        <v>474</v>
      </c>
      <c r="C46" s="1" t="s">
        <v>475</v>
      </c>
      <c r="D46" s="1" t="s">
        <v>476</v>
      </c>
      <c r="E46" s="1" t="s">
        <v>477</v>
      </c>
      <c r="F46" s="1" t="s">
        <v>478</v>
      </c>
      <c r="G46" s="1" t="s">
        <v>479</v>
      </c>
    </row>
    <row r="47" spans="1:14">
      <c r="A47" s="2" t="s">
        <v>480</v>
      </c>
      <c r="B47" s="3">
        <v>5</v>
      </c>
      <c r="C47" s="3">
        <v>4</v>
      </c>
      <c r="D47" s="3">
        <v>4</v>
      </c>
      <c r="E47" s="3">
        <v>2</v>
      </c>
      <c r="F47" s="22">
        <f>B47*C47*D47/E47</f>
        <v>40</v>
      </c>
      <c r="G47" s="4">
        <f>RANK(F47,$F$47:$F$51,0)</f>
        <v>1</v>
      </c>
    </row>
    <row r="48" spans="1:14">
      <c r="A48" s="2" t="s">
        <v>482</v>
      </c>
      <c r="B48" s="3">
        <v>4</v>
      </c>
      <c r="C48" s="3">
        <v>4</v>
      </c>
      <c r="D48" s="3">
        <v>4</v>
      </c>
      <c r="E48" s="3">
        <v>2</v>
      </c>
      <c r="F48" s="22">
        <f>B48*C48*D48/E48</f>
        <v>32</v>
      </c>
      <c r="G48" s="4">
        <f>RANK(F48,$F$47:$F$51,0)</f>
        <v>2</v>
      </c>
    </row>
    <row r="49" spans="1:14" ht="24">
      <c r="A49" s="2" t="s">
        <v>484</v>
      </c>
      <c r="B49" s="3">
        <v>4</v>
      </c>
      <c r="C49" s="3">
        <v>4</v>
      </c>
      <c r="D49" s="3">
        <v>3</v>
      </c>
      <c r="E49" s="3">
        <v>3</v>
      </c>
      <c r="F49" s="22">
        <f>B49*C49*D49/E49</f>
        <v>16</v>
      </c>
      <c r="G49" s="4">
        <f>RANK(F49,$F$47:$F$51,0)</f>
        <v>3</v>
      </c>
    </row>
    <row r="50" spans="1:14">
      <c r="A50" s="2" t="s">
        <v>223</v>
      </c>
      <c r="B50" s="3">
        <v>3</v>
      </c>
      <c r="C50" s="3">
        <v>4</v>
      </c>
      <c r="D50" s="3">
        <v>3</v>
      </c>
      <c r="E50" s="3">
        <v>3</v>
      </c>
      <c r="F50" s="22">
        <f>B50*C50*D50/E50</f>
        <v>12</v>
      </c>
      <c r="G50" s="4">
        <f>RANK(F50,$F$47:$F$51,0)</f>
        <v>4</v>
      </c>
    </row>
    <row r="51" spans="1:14">
      <c r="A51" s="2" t="s">
        <v>487</v>
      </c>
      <c r="B51" s="3">
        <v>2</v>
      </c>
      <c r="C51" s="3">
        <v>4</v>
      </c>
      <c r="D51" s="3">
        <v>3</v>
      </c>
      <c r="E51" s="3">
        <v>4</v>
      </c>
      <c r="F51" s="22">
        <f>B51*C51*D51/E51</f>
        <v>6</v>
      </c>
      <c r="G51" s="4">
        <f>RANK(F51,$F$47:$F$51,0)</f>
        <v>5</v>
      </c>
    </row>
    <row r="53" spans="1:14" ht="21.95" customHeight="1">
      <c r="A53" s="30" t="s">
        <v>798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1:14">
      <c r="A54" s="26" t="s">
        <v>799</v>
      </c>
      <c r="B54" s="26" t="s">
        <v>800</v>
      </c>
      <c r="C54" s="26" t="s">
        <v>801</v>
      </c>
      <c r="D54" s="26" t="s">
        <v>802</v>
      </c>
      <c r="E54" s="26" t="s">
        <v>803</v>
      </c>
      <c r="F54" s="26" t="s">
        <v>804</v>
      </c>
    </row>
    <row r="55" spans="1:14">
      <c r="A55" s="27" t="s">
        <v>805</v>
      </c>
      <c r="B55" s="27" t="s">
        <v>806</v>
      </c>
      <c r="C55" s="27" t="s">
        <v>807</v>
      </c>
      <c r="D55" s="27" t="s">
        <v>808</v>
      </c>
      <c r="E55" s="27" t="s">
        <v>809</v>
      </c>
      <c r="F55" s="27" t="s">
        <v>810</v>
      </c>
    </row>
    <row r="57" spans="1:14" ht="27.95" customHeight="1">
      <c r="A57" s="31" t="s">
        <v>811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</sheetData>
  <mergeCells count="12">
    <mergeCell ref="A1:N1"/>
    <mergeCell ref="A2:N2"/>
    <mergeCell ref="A3:N3"/>
    <mergeCell ref="A5:N5"/>
    <mergeCell ref="A10:N10"/>
    <mergeCell ref="A53:N53"/>
    <mergeCell ref="A57:N57"/>
    <mergeCell ref="A16:N16"/>
    <mergeCell ref="A24:N24"/>
    <mergeCell ref="A31:N31"/>
    <mergeCell ref="A37:N37"/>
    <mergeCell ref="A45:N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Chaudhari</dc:creator>
  <cp:keywords/>
  <dc:description/>
  <cp:lastModifiedBy>Admin</cp:lastModifiedBy>
  <cp:revision/>
  <dcterms:created xsi:type="dcterms:W3CDTF">2026-10-03T22:27:06Z</dcterms:created>
  <dcterms:modified xsi:type="dcterms:W3CDTF">2026-10-05T15:12:32Z</dcterms:modified>
  <cp:category/>
  <cp:contentStatus/>
</cp:coreProperties>
</file>