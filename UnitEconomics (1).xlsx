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iitbacin-my.sharepoint.com/personal/23b0444_iitb_ac_in/Documents/"/>
    </mc:Choice>
  </mc:AlternateContent>
  <xr:revisionPtr revIDLastSave="0" documentId="8_{0B8235F9-6D30-4C57-ACD8-98EC28E210F7}" xr6:coauthVersionLast="47" xr6:coauthVersionMax="47" xr10:uidLastSave="{00000000-0000-0000-0000-000000000000}"/>
  <bookViews>
    <workbookView xWindow="0" yWindow="500" windowWidth="25600" windowHeight="14260" firstSheet="2" activeTab="2" xr2:uid="{00000000-000D-0000-FFFF-FFFF00000000}"/>
  </bookViews>
  <sheets>
    <sheet name="Read Me" sheetId="1" r:id="rId1"/>
    <sheet name="Core Inputs" sheetId="2" r:id="rId2"/>
    <sheet name="Intervention Econ" sheetId="3" r:id="rId3"/>
    <sheet name="Worked Example" sheetId="4" r:id="rId4"/>
    <sheet name="Sensitivity" sheetId="5" r:id="rId5"/>
    <sheet name="Rider Economics" sheetId="6" r:id="rId6"/>
    <sheet name="Kirana Economics" sheetId="7" r:id="rId7"/>
    <sheet name="Return-to-Value" sheetId="8" r:id="rId8"/>
    <sheet name="Pilot Plan" sheetId="9" r:id="rId9"/>
    <sheet name="Math Guide" sheetId="10" r:id="rId10"/>
    <sheet name="Sources" sheetId="11" r:id="rId11"/>
    <sheet name="Slide 9 Dashboard" sheetId="12" r:id="rId12"/>
    <sheet name="Solution 3 Econ" sheetId="13" r:id="rId13"/>
    <sheet name="Solution 4 Econ" sheetId="14" r:id="rId14"/>
    <sheet name="Portfolio Scenario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5" l="1"/>
  <c r="H6" i="15"/>
  <c r="H8" i="15" s="1"/>
  <c r="H9" i="15" s="1"/>
  <c r="H10" i="15" s="1"/>
  <c r="C16" i="14"/>
  <c r="C17" i="14" s="1"/>
  <c r="C18" i="14" s="1"/>
  <c r="C19" i="14" s="1"/>
  <c r="D10" i="14"/>
  <c r="H10" i="14" s="1"/>
  <c r="H8" i="14"/>
  <c r="D8" i="14"/>
  <c r="D7" i="14"/>
  <c r="D9" i="14" s="1"/>
  <c r="H6" i="14"/>
  <c r="H7" i="14" s="1"/>
  <c r="H9" i="14" s="1"/>
  <c r="B6" i="13"/>
  <c r="C18" i="13" s="1"/>
  <c r="D18" i="13" s="1"/>
  <c r="E18" i="13" s="1"/>
  <c r="N42" i="12"/>
  <c r="N41" i="12"/>
  <c r="N40" i="12"/>
  <c r="N39" i="12"/>
  <c r="N38" i="12"/>
  <c r="J32" i="12"/>
  <c r="N32" i="12" s="1"/>
  <c r="N31" i="12"/>
  <c r="M31" i="12"/>
  <c r="K31" i="12"/>
  <c r="J31" i="12"/>
  <c r="K30" i="12"/>
  <c r="M30" i="12" s="1"/>
  <c r="J30" i="12"/>
  <c r="N30" i="12" s="1"/>
  <c r="N29" i="12"/>
  <c r="M29" i="12"/>
  <c r="K29" i="12"/>
  <c r="J29" i="12"/>
  <c r="J28" i="12"/>
  <c r="N28" i="12" s="1"/>
  <c r="C22" i="12"/>
  <c r="E22" i="12" s="1"/>
  <c r="F22" i="12" s="1"/>
  <c r="B22" i="12"/>
  <c r="D22" i="12" s="1"/>
  <c r="F21" i="12"/>
  <c r="E21" i="12"/>
  <c r="C21" i="12"/>
  <c r="B21" i="12"/>
  <c r="D21" i="12" s="1"/>
  <c r="D20" i="12"/>
  <c r="C20" i="12"/>
  <c r="E20" i="12" s="1"/>
  <c r="F20" i="12" s="1"/>
  <c r="B20" i="12"/>
  <c r="C19" i="12"/>
  <c r="B19" i="12"/>
  <c r="E19" i="12" s="1"/>
  <c r="F19" i="12" s="1"/>
  <c r="K18" i="12"/>
  <c r="C18" i="12"/>
  <c r="E18" i="12" s="1"/>
  <c r="F18" i="12" s="1"/>
  <c r="B18" i="12"/>
  <c r="D18" i="12" s="1"/>
  <c r="K17" i="12"/>
  <c r="K21" i="12" s="1"/>
  <c r="K24" i="12" s="1"/>
  <c r="F17" i="12"/>
  <c r="E17" i="12"/>
  <c r="C17" i="12"/>
  <c r="B17" i="12"/>
  <c r="D17" i="12" s="1"/>
  <c r="B11" i="8"/>
  <c r="B12" i="8" s="1"/>
  <c r="D11" i="7"/>
  <c r="C11" i="7"/>
  <c r="E11" i="7" s="1"/>
  <c r="B11" i="7"/>
  <c r="B10" i="7"/>
  <c r="D10" i="7" s="1"/>
  <c r="D9" i="7"/>
  <c r="C9" i="7"/>
  <c r="E9" i="7" s="1"/>
  <c r="B9" i="7"/>
  <c r="B8" i="7"/>
  <c r="C8" i="7" s="1"/>
  <c r="D7" i="7"/>
  <c r="C7" i="7"/>
  <c r="E7" i="7" s="1"/>
  <c r="B7" i="7"/>
  <c r="D6" i="7"/>
  <c r="B6" i="7"/>
  <c r="C6" i="7" s="1"/>
  <c r="E6" i="7" s="1"/>
  <c r="D5" i="7"/>
  <c r="C5" i="7"/>
  <c r="E5" i="7" s="1"/>
  <c r="B5" i="7"/>
  <c r="B9" i="6"/>
  <c r="C9" i="6" s="1"/>
  <c r="E9" i="6" s="1"/>
  <c r="B8" i="6"/>
  <c r="C8" i="6" s="1"/>
  <c r="E8" i="6" s="1"/>
  <c r="B7" i="6"/>
  <c r="C7" i="6" s="1"/>
  <c r="E7" i="6" s="1"/>
  <c r="B6" i="6"/>
  <c r="C6" i="6" s="1"/>
  <c r="E6" i="6" s="1"/>
  <c r="C5" i="6"/>
  <c r="E5" i="6" s="1"/>
  <c r="B5" i="6"/>
  <c r="C13" i="5"/>
  <c r="C15" i="5" s="1"/>
  <c r="C9" i="5"/>
  <c r="B9" i="5"/>
  <c r="B8" i="5"/>
  <c r="C8" i="5" s="1"/>
  <c r="B7" i="5"/>
  <c r="C7" i="5" s="1"/>
  <c r="B6" i="5"/>
  <c r="C6" i="5" s="1"/>
  <c r="B5" i="5"/>
  <c r="C5" i="5" s="1"/>
  <c r="B8" i="4"/>
  <c r="B9" i="4" s="1"/>
  <c r="B6" i="4"/>
  <c r="B5" i="4"/>
  <c r="E10" i="3"/>
  <c r="D10" i="3"/>
  <c r="C10" i="3"/>
  <c r="B10" i="3"/>
  <c r="D9" i="3"/>
  <c r="E9" i="3" s="1"/>
  <c r="B9" i="3"/>
  <c r="C9" i="3" s="1"/>
  <c r="E8" i="3"/>
  <c r="D8" i="3"/>
  <c r="C8" i="3"/>
  <c r="B8" i="3"/>
  <c r="D7" i="3"/>
  <c r="E7" i="3" s="1"/>
  <c r="B7" i="3"/>
  <c r="C7" i="3" s="1"/>
  <c r="E6" i="3"/>
  <c r="D6" i="3"/>
  <c r="C6" i="3"/>
  <c r="B6" i="3"/>
  <c r="D5" i="3"/>
  <c r="E5" i="3" s="1"/>
  <c r="B5" i="3"/>
  <c r="C5" i="3" s="1"/>
  <c r="B28" i="2"/>
  <c r="D6" i="5" s="1"/>
  <c r="F6" i="5" s="1"/>
  <c r="B27" i="2"/>
  <c r="K19" i="12" s="1"/>
  <c r="K20" i="12" s="1"/>
  <c r="K22" i="12" s="1"/>
  <c r="B11" i="2"/>
  <c r="B10" i="2"/>
  <c r="B8" i="2"/>
  <c r="E8" i="7" l="1"/>
  <c r="E5" i="5"/>
  <c r="K23" i="12"/>
  <c r="E6" i="5"/>
  <c r="D8" i="5"/>
  <c r="F8" i="5" s="1"/>
  <c r="D8" i="7"/>
  <c r="D19" i="12"/>
  <c r="C14" i="3"/>
  <c r="C10" i="7"/>
  <c r="E10" i="7" s="1"/>
  <c r="K28" i="12"/>
  <c r="M28" i="12" s="1"/>
  <c r="K32" i="12"/>
  <c r="M32" i="12" s="1"/>
  <c r="F6" i="4"/>
  <c r="F7" i="4" s="1"/>
  <c r="G6" i="13"/>
  <c r="G7" i="13" s="1"/>
  <c r="B7" i="4"/>
  <c r="F5" i="4" s="1"/>
  <c r="F8" i="4" s="1"/>
  <c r="F9" i="4" s="1"/>
  <c r="D5" i="5"/>
  <c r="F5" i="5" s="1"/>
  <c r="C14" i="5"/>
  <c r="B15" i="13"/>
  <c r="B17" i="13"/>
  <c r="B19" i="13"/>
  <c r="G8" i="13"/>
  <c r="C15" i="13"/>
  <c r="D15" i="13" s="1"/>
  <c r="E15" i="13" s="1"/>
  <c r="C17" i="13"/>
  <c r="D17" i="13" s="1"/>
  <c r="E17" i="13" s="1"/>
  <c r="C19" i="13"/>
  <c r="D19" i="13" s="1"/>
  <c r="E19" i="13" s="1"/>
  <c r="D7" i="5"/>
  <c r="F7" i="5" s="1"/>
  <c r="H7" i="15"/>
  <c r="H11" i="15" s="1"/>
  <c r="D9" i="5"/>
  <c r="F9" i="5" s="1"/>
  <c r="B14" i="13"/>
  <c r="B16" i="13"/>
  <c r="B18" i="13"/>
  <c r="C14" i="13"/>
  <c r="D14" i="13" s="1"/>
  <c r="E14" i="13" s="1"/>
  <c r="C16" i="13"/>
  <c r="D16" i="13" s="1"/>
  <c r="E16" i="13" s="1"/>
  <c r="G10" i="13" l="1"/>
  <c r="G9" i="13"/>
  <c r="C17" i="3"/>
  <c r="D17" i="3" s="1"/>
  <c r="D14" i="3"/>
  <c r="C16" i="3" s="1"/>
  <c r="D16" i="3" s="1"/>
  <c r="E9" i="5"/>
  <c r="E8" i="5"/>
  <c r="E7" i="5"/>
</calcChain>
</file>

<file path=xl/sharedStrings.xml><?xml version="1.0" encoding="utf-8"?>
<sst xmlns="http://schemas.openxmlformats.org/spreadsheetml/2006/main" count="769" uniqueCount="580">
  <si>
    <t>Slide 9 — Unit Economics &amp; 30–60–90 | Calculation Workbook</t>
  </si>
  <si>
    <t>Purpose</t>
  </si>
  <si>
    <t>Explains every calculation used on Slide 9 in a clean, formula-driven model.</t>
  </si>
  <si>
    <t>Core economic hurdle</t>
  </si>
  <si>
    <t>₹120 incremental reverse logistics cost per RTO (DICE case-pack assumption).</t>
  </si>
  <si>
    <t>Core equation</t>
  </si>
  <si>
    <t>Expected Net Value = P(save) × ₹120 − Intervention Cost.</t>
  </si>
  <si>
    <t>Break-even rule</t>
  </si>
  <si>
    <t>P(save) &gt; Intervention Cost ÷ ₹120.</t>
  </si>
  <si>
    <t>Primary scale metric</t>
  </si>
  <si>
    <t>Cost per RTO avoided = Incremental intervention spend ÷ Incremental RTOs avoided.</t>
  </si>
  <si>
    <t>Scale gate</t>
  </si>
  <si>
    <t>Scale only where Cost / RTO avoided &lt; ₹120 and rider, CX, SLA and operational guardrails hold.</t>
  </si>
  <si>
    <t>Workbook conventions</t>
  </si>
  <si>
    <t>Blue font</t>
  </si>
  <si>
    <t>Hardcoded assumptions / scenario inputs</t>
  </si>
  <si>
    <t>Black font</t>
  </si>
  <si>
    <t>Formulas / calculations</t>
  </si>
  <si>
    <t>Green font</t>
  </si>
  <si>
    <t>Links from another worksheet</t>
  </si>
  <si>
    <t>Yellow fill</t>
  </si>
  <si>
    <t>Key assumption / cell to review</t>
  </si>
  <si>
    <t>Source basis</t>
  </si>
  <si>
    <t>Slide 9 analysis + uploaded revised solution architecture + DICE case-pack assumptions</t>
  </si>
  <si>
    <t>Core Inputs &amp; Scenario Assumptions</t>
  </si>
  <si>
    <t>DICE case-pack economics</t>
  </si>
  <si>
    <t>Input</t>
  </si>
  <si>
    <t>Value</t>
  </si>
  <si>
    <t>Unit / note</t>
  </si>
  <si>
    <t>Forward logistics cost</t>
  </si>
  <si>
    <t>₹ / shipped order</t>
  </si>
  <si>
    <t>Incremental reverse logistics cost</t>
  </si>
  <si>
    <t>₹ / RTO order</t>
  </si>
  <si>
    <t>Current blended RTO rate</t>
  </si>
  <si>
    <t>% of shipped orders; DICE case-pack</t>
  </si>
  <si>
    <t>Total logistics cost of a failed order</t>
  </si>
  <si>
    <t>₹ / RTO order = forward + reverse</t>
  </si>
  <si>
    <t>Zero-RTO cost per successful delivery</t>
  </si>
  <si>
    <t>₹ / successful delivery</t>
  </si>
  <si>
    <t>Actual cost per successful delivery at 17% RTO</t>
  </si>
  <si>
    <t>RTO-driven cost uplift vs zero RTO</t>
  </si>
  <si>
    <t>%</t>
  </si>
  <si>
    <t>Illustrative intervention costs for pilot testing</t>
  </si>
  <si>
    <t>Intervention</t>
  </si>
  <si>
    <t>Cost / action (₹)</t>
  </si>
  <si>
    <t>Use</t>
  </si>
  <si>
    <t>WhatsApp / SMS</t>
  </si>
  <si>
    <t>Low-cost outreach</t>
  </si>
  <si>
    <t>Automated AI call</t>
  </si>
  <si>
    <t>IVR / automated call</t>
  </si>
  <si>
    <t>Assisted human call</t>
  </si>
  <si>
    <t>Higher-touch recovery</t>
  </si>
  <si>
    <t>Kirana recovery handling</t>
  </si>
  <si>
    <t>Illustrative handling assumption</t>
  </si>
  <si>
    <t>Rider reattempt</t>
  </si>
  <si>
    <t>Difficulty-based reattempt cost</t>
  </si>
  <si>
    <t>Reroute to nearby hub</t>
  </si>
  <si>
    <t>Selective network correction</t>
  </si>
  <si>
    <t>Worked-example inputs</t>
  </si>
  <si>
    <t>Unit</t>
  </si>
  <si>
    <t>First-NDR orders</t>
  </si>
  <si>
    <t>orders</t>
  </si>
  <si>
    <t>Intervention cost per order</t>
  </si>
  <si>
    <t>₹ / order</t>
  </si>
  <si>
    <t>RTOs avoided</t>
  </si>
  <si>
    <t>Assumed save rate</t>
  </si>
  <si>
    <t>% of first-NDR orders</t>
  </si>
  <si>
    <t>Intervention spend</t>
  </si>
  <si>
    <t>₹</t>
  </si>
  <si>
    <t>Other scenario inputs</t>
  </si>
  <si>
    <t>Rider save probability (example)</t>
  </si>
  <si>
    <t>30% example</t>
  </si>
  <si>
    <t>Kirana handling cost</t>
  </si>
  <si>
    <t>₹ / recovered parcel</t>
  </si>
  <si>
    <t>Kirana eligible parcels</t>
  </si>
  <si>
    <t>parcels</t>
  </si>
  <si>
    <t>Recovery rates tested</t>
  </si>
  <si>
    <t>5%, 10%, 12.5%, 20%, 30%, 40%</t>
  </si>
  <si>
    <t>scenario range</t>
  </si>
  <si>
    <t>Intervention Economics — Break-Even Hurdles</t>
  </si>
  <si>
    <t>Formula: Break-even save probability = Intervention cost ÷ ₹120</t>
  </si>
  <si>
    <t>Break-even P(save)</t>
  </si>
  <si>
    <t>Expected value if save P = 10%</t>
  </si>
  <si>
    <t>Expected net value at 10%</t>
  </si>
  <si>
    <t>Comment</t>
  </si>
  <si>
    <t>Low-cost pre-dispatch prevention</t>
  </si>
  <si>
    <t>Moderate-cost intent confirmation</t>
  </si>
  <si>
    <t>Higher-touch pre-dispatch recovery</t>
  </si>
  <si>
    <t>Positive if recovery rate clears threshold</t>
  </si>
  <si>
    <t>Needs meaningful conversion uplift</t>
  </si>
  <si>
    <t>Use selectively</t>
  </si>
  <si>
    <t>Cost per RTO avoided</t>
  </si>
  <si>
    <t>Metric</t>
  </si>
  <si>
    <t>Formula</t>
  </si>
  <si>
    <t>Illustrative input</t>
  </si>
  <si>
    <t>Result</t>
  </si>
  <si>
    <t>Decision</t>
  </si>
  <si>
    <t>Orders × cost/order</t>
  </si>
  <si>
    <t>Observed incremental difference vs control</t>
  </si>
  <si>
    <t>Cost / RTO avoided</t>
  </si>
  <si>
    <t>Spend ÷ RTOs avoided</t>
  </si>
  <si>
    <t>Net value</t>
  </si>
  <si>
    <t>RTOs avoided × ₹120 − spend</t>
  </si>
  <si>
    <t>Worked Example — Assisted Contact Pilot</t>
  </si>
  <si>
    <t>Illustrative scenario from Slide 9</t>
  </si>
  <si>
    <t>Math</t>
  </si>
  <si>
    <t>Interpretation</t>
  </si>
  <si>
    <t>10,000 × ₹5</t>
  </si>
  <si>
    <t>Cash cost of pilot</t>
  </si>
  <si>
    <t>Intervention cost / order</t>
  </si>
  <si>
    <t>Reverse cost avoided</t>
  </si>
  <si>
    <t>600 × ₹120</t>
  </si>
  <si>
    <t>Value unlocked</t>
  </si>
  <si>
    <t>Net reverse-cost value</t>
  </si>
  <si>
    <t>₹72,000 − ₹50,000</t>
  </si>
  <si>
    <t>Value after intervention spend</t>
  </si>
  <si>
    <t>₹50,000 ÷ 600</t>
  </si>
  <si>
    <t>Compare with ₹120 hurdle</t>
  </si>
  <si>
    <t>Save rate</t>
  </si>
  <si>
    <t>Economic test</t>
  </si>
  <si>
    <t>₹83.3 &lt; ₹120</t>
  </si>
  <si>
    <t>Pass</t>
  </si>
  <si>
    <t>Sensitivity — Intervention Spend vs RTO Save Rate</t>
  </si>
  <si>
    <t>Base case: 10,000 first-NDR orders; ₹5 intervention cost / order</t>
  </si>
  <si>
    <t>RTO save rate</t>
  </si>
  <si>
    <t>Value saved @ ₹120</t>
  </si>
  <si>
    <t>Intervention cost</t>
  </si>
  <si>
    <t>Break-even check</t>
  </si>
  <si>
    <t>Break-even save probability</t>
  </si>
  <si>
    <t>₹5 ÷ ₹120</t>
  </si>
  <si>
    <t>Minimum whole-order example</t>
  </si>
  <si>
    <t>At 10,000 orders</t>
  </si>
  <si>
    <t>Rule</t>
  </si>
  <si>
    <t>Save rate &gt; break-even</t>
  </si>
  <si>
    <t>Rider Economics — Difficulty-Adjusted Premium</t>
  </si>
  <si>
    <t>Rule: Maximum economically justified premium = P(save) × ₹120</t>
  </si>
  <si>
    <t>Save probability</t>
  </si>
  <si>
    <t>RTO value at stake</t>
  </si>
  <si>
    <t>Max premium ceiling</t>
  </si>
  <si>
    <t>Example premium</t>
  </si>
  <si>
    <t>Headroom vs example</t>
  </si>
  <si>
    <t>Difficulty-adjusted operating logic</t>
  </si>
  <si>
    <t>Step</t>
  </si>
  <si>
    <t>Question / calculation</t>
  </si>
  <si>
    <t>If yes</t>
  </si>
  <si>
    <t>If no</t>
  </si>
  <si>
    <t>1. Allocation</t>
  </si>
  <si>
    <t>Is the LMDC assignment appropriate?</t>
  </si>
  <si>
    <t>Continue risk check</t>
  </si>
  <si>
    <t>Reallocate before incentive</t>
  </si>
  <si>
    <t>2. Difficulty</t>
  </si>
  <si>
    <t>Score distance + address confidence + pincode RTO history + COD / intent</t>
  </si>
  <si>
    <t>Continue</t>
  </si>
  <si>
    <t>Normal delivery economics</t>
  </si>
  <si>
    <t>3. Threshold</t>
  </si>
  <si>
    <t>Is difficulty above the premium threshold?</t>
  </si>
  <si>
    <t>Apply targeted premium</t>
  </si>
  <si>
    <t>No premium</t>
  </si>
  <si>
    <t>4. Verified attempt</t>
  </si>
  <si>
    <t>GPS + timestamp/dwell + customer contact + reason code</t>
  </si>
  <si>
    <t>Eligible for failed-attempt compensation</t>
  </si>
  <si>
    <t>No compensation</t>
  </si>
  <si>
    <t>5. Economic cap</t>
  </si>
  <si>
    <t>Premium &lt; P(save) × ₹120</t>
  </si>
  <si>
    <t>Contribution-positive</t>
  </si>
  <si>
    <t>Reduce / remove premium</t>
  </si>
  <si>
    <t>Kirana Recovery Economics</t>
  </si>
  <si>
    <t>Simplified gate: P(recovery) × ₹120 &gt; handling + transfer + kirana payout</t>
  </si>
  <si>
    <t>Recovery rate</t>
  </si>
  <si>
    <t>Parcels recovered</t>
  </si>
  <si>
    <t>Handling cost @ ₹15</t>
  </si>
  <si>
    <t>Net before transfer/payout</t>
  </si>
  <si>
    <t>Break-even</t>
  </si>
  <si>
    <t>What the calculation means</t>
  </si>
  <si>
    <t>Avoided reverse cost</t>
  </si>
  <si>
    <t>Recovered parcels × ₹120</t>
  </si>
  <si>
    <t>Value released by not sending recovered parcels through reverse logistics.</t>
  </si>
  <si>
    <t>Handling cost</t>
  </si>
  <si>
    <t>Recovered parcels × ₹15</t>
  </si>
  <si>
    <t>Illustrative local handling expense; excludes transfer/payout unless separately modelled.</t>
  </si>
  <si>
    <t>Return-to-Value — Full Economic Gate</t>
  </si>
  <si>
    <t>Input a seller-authorized local recovery scenario; formulas calculate net value</t>
  </si>
  <si>
    <t>Illustrative value</t>
  </si>
  <si>
    <t>Recovery revenue / new sale</t>
  </si>
  <si>
    <t>Seller-approved discount</t>
  </si>
  <si>
    <t>₹ / parcel</t>
  </si>
  <si>
    <t>Local fulfilment / pickup</t>
  </si>
  <si>
    <t>Kirana / handling</t>
  </si>
  <si>
    <t>Payment processing</t>
  </si>
  <si>
    <t>Expected second-RTO cost</t>
  </si>
  <si>
    <t>Reverse logistics avoided</t>
  </si>
  <si>
    <t>₹120 / parcel</t>
  </si>
  <si>
    <t>Net Recovery Value</t>
  </si>
  <si>
    <t>per recovered parcel</t>
  </si>
  <si>
    <t>Decision rule</t>
  </si>
  <si>
    <t>Test</t>
  </si>
  <si>
    <t>Seller authorization</t>
  </si>
  <si>
    <t>Yes / No</t>
  </si>
  <si>
    <t>Must be Yes</t>
  </si>
  <si>
    <t>Parcel eligibility</t>
  </si>
  <si>
    <t>Sealed + eligible + local demand</t>
  </si>
  <si>
    <t>Otherwise return</t>
  </si>
  <si>
    <t>Economic gate</t>
  </si>
  <si>
    <t>Expected Recovery Value &gt; normal return economics</t>
  </si>
  <si>
    <t>Use local recovery only when positive</t>
  </si>
  <si>
    <t>30–60–90 Pilot &amp; Scale Gates</t>
  </si>
  <si>
    <t>Pilot roadmap</t>
  </si>
  <si>
    <t>Phase</t>
  </si>
  <si>
    <t>Days</t>
  </si>
  <si>
    <t>Objective</t>
  </si>
  <si>
    <t>Core scope</t>
  </si>
  <si>
    <t>Primary test</t>
  </si>
  <si>
    <t>Prove</t>
  </si>
  <si>
    <t>0–30</t>
  </si>
  <si>
    <t>Validate economic impact</t>
  </si>
  <si>
    <t>First-NDR, COD-heavy; rule-based Intercept</t>
  </si>
  <si>
    <t>Control vs treatment</t>
  </si>
  <si>
    <t>Proceed if economics are positive</t>
  </si>
  <si>
    <t>Optimise</t>
  </si>
  <si>
    <t>31–60</t>
  </si>
  <si>
    <t>Improve fit and operations</t>
  </si>
  <si>
    <t>LMDC fit, difficulty premium, verified attempts, Kirana nodes</t>
  </si>
  <si>
    <t>Segment by cause / distance / pincode</t>
  </si>
  <si>
    <t>Retain only winning interventions</t>
  </si>
  <si>
    <t>Scale</t>
  </si>
  <si>
    <t>61–90</t>
  </si>
  <si>
    <t>Integrate and expand</t>
  </si>
  <si>
    <t>Decision engine + routing + rider + recovery</t>
  </si>
  <si>
    <t>Expand to categories/geographies</t>
  </si>
  <si>
    <t>Scale only after all gates pass</t>
  </si>
  <si>
    <t>Day 90 gate</t>
  </si>
  <si>
    <t>Scale / stop / modify</t>
  </si>
  <si>
    <t>Scale scorecard</t>
  </si>
  <si>
    <t>Gate</t>
  </si>
  <si>
    <t>Scale condition</t>
  </si>
  <si>
    <t>Economics</t>
  </si>
  <si>
    <t>Cost / RTO avoided &lt; ₹120</t>
  </si>
  <si>
    <t>₹ / RTO avoided</t>
  </si>
  <si>
    <t>RTO impact</t>
  </si>
  <si>
    <t>Meaningful reduction vs control</t>
  </si>
  <si>
    <t>RTO % / NDR→delivery</t>
  </si>
  <si>
    <t>Rider health</t>
  </si>
  <si>
    <t>Earnings / productive hour not lower</t>
  </si>
  <si>
    <t>₹ / productive hour</t>
  </si>
  <si>
    <t>Customer</t>
  </si>
  <si>
    <t>No deterioration</t>
  </si>
  <si>
    <t>Complaint rate / CSAT</t>
  </si>
  <si>
    <t>Speed</t>
  </si>
  <si>
    <t>No material TAT / SLA degradation</t>
  </si>
  <si>
    <t>Delivery TAT</t>
  </si>
  <si>
    <t>Operations</t>
  </si>
  <si>
    <t>No material complexity / fraud / damage increase</t>
  </si>
  <si>
    <t>Operational exception rate</t>
  </si>
  <si>
    <t>Recovery</t>
  </si>
  <si>
    <t>Positive recovery economics</t>
  </si>
  <si>
    <t>Net value / recovered parcel</t>
  </si>
  <si>
    <t>Math Guide — What Each Calculation Means</t>
  </si>
  <si>
    <t>Calculation</t>
  </si>
  <si>
    <t>Plain-English meaning</t>
  </si>
  <si>
    <t>Used on slide</t>
  </si>
  <si>
    <t>Sheet</t>
  </si>
  <si>
    <t>Incremental reverse cost</t>
  </si>
  <si>
    <t>₹120</t>
  </si>
  <si>
    <t>Cost avoided when an RTO is prevented/recovered, based on DICE case-pack.</t>
  </si>
  <si>
    <t>Post-dispatch hurdle / rescue</t>
  </si>
  <si>
    <t>Core Inputs</t>
  </si>
  <si>
    <t>Pre-dispatch net value</t>
  </si>
  <si>
    <t>P(save) × ₹170 − C(intervention)</t>
  </si>
  <si>
    <t>Successful prevention avoids ₹50 forward + ₹120 reverse.</t>
  </si>
  <si>
    <t>Pre-dispatch interventions</t>
  </si>
  <si>
    <t>Intervention Econ</t>
  </si>
  <si>
    <t>Post-dispatch net value</t>
  </si>
  <si>
    <t>P(RTO avoided) × ₹120 − C(intervention)</t>
  </si>
  <si>
    <t>Successful rescue avoids the incremental reverse logistics cost.</t>
  </si>
  <si>
    <t>Post-dispatch interventions</t>
  </si>
  <si>
    <t>Cost ÷ value at stake</t>
  </si>
  <si>
    <t>Minimum save probability needed to pay for the intervention; use ₹170 pre-dispatch or ₹120 post-dispatch.</t>
  </si>
  <si>
    <t>Break-even ladders</t>
  </si>
  <si>
    <t>Rider premium ceiling</t>
  </si>
  <si>
    <t>P(save) × ₹120</t>
  </si>
  <si>
    <t>Maximum premium supported by expected avoided reverse cost.</t>
  </si>
  <si>
    <t>Rider economics</t>
  </si>
  <si>
    <t>Rider Economics</t>
  </si>
  <si>
    <t>Kirana break-even</t>
  </si>
  <si>
    <t>Handling ÷ ₹120</t>
  </si>
  <si>
    <t>Simplified recovery rate needed to cover illustrative ₹15 handling.</t>
  </si>
  <si>
    <t>Kirana economics</t>
  </si>
  <si>
    <t>Kirana Economics</t>
  </si>
  <si>
    <t>Recovery revenue − discount − local fulfilment − handling − payment cost − second-RTO cost + reverse cost avoided</t>
  </si>
  <si>
    <t>Full seller-authorized local reallocation economics per recovered parcel.</t>
  </si>
  <si>
    <t>Return-to-Value</t>
  </si>
  <si>
    <t>Scale decision</t>
  </si>
  <si>
    <t>All gates pass</t>
  </si>
  <si>
    <t>Do not scale based on RTO reduction alone; check economics, rider, CX, SLA and operational safety.</t>
  </si>
  <si>
    <t>30–60–90</t>
  </si>
  <si>
    <t>Pilot Plan</t>
  </si>
  <si>
    <t>Source Notes</t>
  </si>
  <si>
    <t>Source / basis</t>
  </si>
  <si>
    <t>Used for</t>
  </si>
  <si>
    <t>Notes</t>
  </si>
  <si>
    <t>Reference</t>
  </si>
  <si>
    <t>Uploaded Slide 9 analysis</t>
  </si>
  <si>
    <t>Core ₹120 hurdle, formulas, illustrative intervention costs, pilot example, sensitivity, 30–60–90</t>
  </si>
  <si>
    <t>Model inputs from the supplied analysis; intervention costs are explicitly described as illustrative pilot assumptions.</t>
  </si>
  <si>
    <t>User-provided analysis</t>
  </si>
  <si>
    <t>Uploaded Valmo RTO Revised Solution Architecture</t>
  </si>
  <si>
    <t>Economic gates, rider premium logic, Kirana ₹15 handling assumption, pilot KPIs and guardrails</t>
  </si>
  <si>
    <t>Architecture says rider premium should be capped by expected avoided RTO cost and Kirana recovery threshold is 12.5% at ₹15 handling.</t>
  </si>
  <si>
    <t>User-provided DOCX</t>
  </si>
  <si>
    <t>₹50 forward cost, ₹120 reverse cost, ₹170 total failed-order logistics cost</t>
  </si>
  <si>
    <t>Illustrative case inputs; keep these labelled as case-pack assumptions in the final deck.</t>
  </si>
  <si>
    <t>User-provided case material</t>
  </si>
  <si>
    <t>IIM Mumbai reference slide</t>
  </si>
  <si>
    <t>Layout / modelling inspiration only</t>
  </si>
  <si>
    <t>Used for structure: unit economics, scenario comparison, assumptions, success metrics; no content copied.</t>
  </si>
  <si>
    <t>User-provided reference PDF</t>
  </si>
  <si>
    <t>Model note</t>
  </si>
  <si>
    <t>Scope</t>
  </si>
  <si>
    <t>This workbook explains Slide 9 calculations; it does not claim forecasted Valmo savings.</t>
  </si>
  <si>
    <t>Internal model note</t>
  </si>
  <si>
    <t>9 | UNIT ECONOMICS &amp; PILOT</t>
  </si>
  <si>
    <t>PROVE THE ECONOMICS BEFORE WE SCALE</t>
  </si>
  <si>
    <t>Every intervention must beat the ₹120 reverse-cost hurdle while protecting successful-delivery cost, rider earnings, customer experience and delivery speed.</t>
  </si>
  <si>
    <t>CORE ECONOMIC ANCHORS</t>
  </si>
  <si>
    <t>PORTFOLIO SCENARIO</t>
  </si>
  <si>
    <t>WORKED EXAMPLE</t>
  </si>
  <si>
    <t>FLASH STORE</t>
  </si>
  <si>
    <t>Incremental reverse cost / RTO</t>
  </si>
  <si>
    <t>17.0%</t>
  </si>
  <si>
    <t>Current blended RTO</t>
  </si>
  <si>
    <t>₹83.3</t>
  </si>
  <si>
    <t>₹273</t>
  </si>
  <si>
    <t>Net recovery value / recovered parcel</t>
  </si>
  <si>
    <t>₹170</t>
  </si>
  <si>
    <t>Total failed-order logistics cost</t>
  </si>
  <si>
    <t>2.74 pp</t>
  </si>
  <si>
    <t>Illustrative 50% capture of 5.47pp recoverable pool</t>
  </si>
  <si>
    <t>₹22,000</t>
  </si>
  <si>
    <t>Net value / 10,000 orders</t>
  </si>
  <si>
    <t>A. ECONOMIC ENGINE: THREE TYPES OF INTERVENTIONS</t>
  </si>
  <si>
    <t>Intervention class</t>
  </si>
  <si>
    <t>Illustrative action</t>
  </si>
  <si>
    <t>Value at stake</t>
  </si>
  <si>
    <t>Core formula</t>
  </si>
  <si>
    <t>Key economic hurdle</t>
  </si>
  <si>
    <t>Example cost</t>
  </si>
  <si>
    <t>Break-even save / recovery</t>
  </si>
  <si>
    <t>Slide role</t>
  </si>
  <si>
    <t>1. PRE-DISPATCH PREVENTION</t>
  </si>
  <si>
    <t>WhatsApp / SMS; AI call; human call</t>
  </si>
  <si>
    <t>₹170 / order</t>
  </si>
  <si>
    <t>P(save) × ₹170 − C</t>
  </si>
  <si>
    <t>Cost must be justified by failed-order value avoided</t>
  </si>
  <si>
    <t>₹2 / ₹5 / ₹10</t>
  </si>
  <si>
    <t>1.2% / 2.9% / 5.9%</t>
  </si>
  <si>
    <t>Solution 1</t>
  </si>
  <si>
    <t>2. POST-DISPATCH RESCUE</t>
  </si>
  <si>
    <t>Rider reattempt; nearby-hub reroute</t>
  </si>
  <si>
    <t>₹120 / RTO</t>
  </si>
  <si>
    <t>P(RTO avoided) × ₹120 − C</t>
  </si>
  <si>
    <t>₹20 / ₹30</t>
  </si>
  <si>
    <t>16.7% / 25.0%</t>
  </si>
  <si>
    <t>Solutions 2 / 3</t>
  </si>
  <si>
    <t>3. LOCAL RECOVERY</t>
  </si>
  <si>
    <t>Seller-authorized Flash Store recovery</t>
  </si>
  <si>
    <t>₹120 reverse + recovered value</t>
  </si>
  <si>
    <t>Avoided reverse + recovered value − recovery cost</t>
  </si>
  <si>
    <t>Positive net recovery value</t>
  </si>
  <si>
    <t>See Return-to-Value</t>
  </si>
  <si>
    <t>Model per recovered parcel</t>
  </si>
  <si>
    <t>Solution 8</t>
  </si>
  <si>
    <t>B. INTERVENTION BREAK-EVEN: WHAT MUST HAPPEN FOR ₹1 SPENT TO PAY BACK?</t>
  </si>
  <si>
    <t>C. WORKED EXAMPLE: ₹5 AI CALL ON 10,000 FIRST-NDR COD ORDERS</t>
  </si>
  <si>
    <t>Value / successful save (₹)</t>
  </si>
  <si>
    <t>Net value at 10% save (₹ / order)</t>
  </si>
  <si>
    <t>100-order net value @10%</t>
  </si>
  <si>
    <t>Input / formula</t>
  </si>
  <si>
    <t>Pre-dispatch</t>
  </si>
  <si>
    <t>Positive at 10%</t>
  </si>
  <si>
    <t>Targeted orders</t>
  </si>
  <si>
    <t>Cost / order</t>
  </si>
  <si>
    <t>Assumed RTO save rate</t>
  </si>
  <si>
    <t>Post-dispatch</t>
  </si>
  <si>
    <t>Negative at 10%; needs ≥16.7%</t>
  </si>
  <si>
    <t>Negative at 10%; needs ≥25.0%</t>
  </si>
  <si>
    <t>Rural Connection Shield</t>
  </si>
  <si>
    <t>Selective protection</t>
  </si>
  <si>
    <t>Calibrate cost + save probability in pilot</t>
  </si>
  <si>
    <t>₹ / RTO</t>
  </si>
  <si>
    <t>Compare to ₹120</t>
  </si>
  <si>
    <t>E. 30–60–90 PILOT: PROVE → OPTIMISE → SCALE</t>
  </si>
  <si>
    <t>D. SENSITIVITY: 10,000 ORDERS × ₹5 INTERVENTION COST</t>
  </si>
  <si>
    <t>Key evidence</t>
  </si>
  <si>
    <t>Owner</t>
  </si>
  <si>
    <t>Value saved</t>
  </si>
  <si>
    <t>PROVE</t>
  </si>
  <si>
    <t>Incremental RTO reduction + cost / RTO avoided</t>
  </si>
  <si>
    <t>Operations + Data</t>
  </si>
  <si>
    <t>OPTIMISE</t>
  </si>
  <si>
    <t>Cause-level uplift + rider/CX impact</t>
  </si>
  <si>
    <t>Operations + Product</t>
  </si>
  <si>
    <t>SCALE</t>
  </si>
  <si>
    <t>Expand categories / geographies</t>
  </si>
  <si>
    <t>Stable economics + operational health</t>
  </si>
  <si>
    <t>Product + Operations</t>
  </si>
  <si>
    <t>F. SCALE GATE: ALL CONDITIONS MUST HOLD</t>
  </si>
  <si>
    <t>Why it matters</t>
  </si>
  <si>
    <t>Target</t>
  </si>
  <si>
    <t>Test owner</t>
  </si>
  <si>
    <t>Value must exceed intervention spend</t>
  </si>
  <si>
    <t>&lt; ₹120</t>
  </si>
  <si>
    <t>Finance / Data</t>
  </si>
  <si>
    <t>RTO %; NDR → delivery</t>
  </si>
  <si>
    <t>Measure incremental causal impact</t>
  </si>
  <si>
    <t>Positive vs control</t>
  </si>
  <si>
    <t>Data Science</t>
  </si>
  <si>
    <t>G. RICE PRIORITISATION</t>
  </si>
  <si>
    <t>Avoid shifting value from platform to rider</t>
  </si>
  <si>
    <t>No worse than control</t>
  </si>
  <si>
    <t>Reach × Impact × Confidence ÷ Effort</t>
  </si>
  <si>
    <t>Protect customer experience</t>
  </si>
  <si>
    <t>No material worse</t>
  </si>
  <si>
    <t>CX</t>
  </si>
  <si>
    <t>Reach</t>
  </si>
  <si>
    <t>Impact</t>
  </si>
  <si>
    <t>Confidence</t>
  </si>
  <si>
    <t>Effort</t>
  </si>
  <si>
    <t>RICE</t>
  </si>
  <si>
    <t>Do not buy RTO improvement by slowing service</t>
  </si>
  <si>
    <t>Assisted contact / confirmation</t>
  </si>
  <si>
    <t>Operations / Risk</t>
  </si>
  <si>
    <t>No material complexity, fraud or damage increase</t>
  </si>
  <si>
    <t>Exception rate</t>
  </si>
  <si>
    <t>Prevent process leakage / abuse</t>
  </si>
  <si>
    <t>No material increase</t>
  </si>
  <si>
    <t>Ops Risk</t>
  </si>
  <si>
    <t>Reschedule / appointment endpoint</t>
  </si>
  <si>
    <t>Rider incentive, difficulty-adjusted</t>
  </si>
  <si>
    <t>KEY TAKEAWAY: RTO REDUCTION IS NOT ENOUGH. SCALE ONLY WHEN INCREMENTAL VALUE EXCEEDS INTERVENTION COST AND ALL CUSTOMER, RIDER, SPEED AND RISK GATES HOLD.</t>
  </si>
  <si>
    <t>Kirana / Flash Store recovery</t>
  </si>
  <si>
    <t>SOLUTION 3 | RURAL CONNECTION SHIELD | ECONOMIC MODEL</t>
  </si>
  <si>
    <t>Use the existing Valmo route and allocation decision; price the time cost of missing the next rural connection.</t>
  </si>
  <si>
    <t>Scenario inputs</t>
  </si>
  <si>
    <t>Decision economics</t>
  </si>
  <si>
    <t>Note</t>
  </si>
  <si>
    <t>Formula / result</t>
  </si>
  <si>
    <t>Reverse logistics cost</t>
  </si>
  <si>
    <t>Case-pack anchor</t>
  </si>
  <si>
    <t>Expected value saved / order</t>
  </si>
  <si>
    <t>Protection cost / order</t>
  </si>
  <si>
    <t>₹ / protected order</t>
  </si>
  <si>
    <t>Scenario input to calibrate in pilot</t>
  </si>
  <si>
    <t>Expected net value / order</t>
  </si>
  <si>
    <t>Value saved − protection cost</t>
  </si>
  <si>
    <t>% of at-risk orders</t>
  </si>
  <si>
    <t>Scenario input</t>
  </si>
  <si>
    <t>Break-even save rate</t>
  </si>
  <si>
    <t>Protection cost ÷ ₹120</t>
  </si>
  <si>
    <t>Portfolio orders</t>
  </si>
  <si>
    <t>Scenario scale for sensitivity</t>
  </si>
  <si>
    <t>Net value on scenario orders</t>
  </si>
  <si>
    <t>Net / order × orders</t>
  </si>
  <si>
    <t>Positive expected net value</t>
  </si>
  <si>
    <t>Protection-cost sensitivity</t>
  </si>
  <si>
    <t>Operational KPI linkage</t>
  </si>
  <si>
    <t>Protection cost / order (₹)</t>
  </si>
  <si>
    <t>Save rate 20%</t>
  </si>
  <si>
    <t>Net / order @20%</t>
  </si>
  <si>
    <t>What to monitor</t>
  </si>
  <si>
    <t>Scale implication</t>
  </si>
  <si>
    <t>P90 / P95 rural delivery time</t>
  </si>
  <si>
    <t>Tail delivery time</t>
  </si>
  <si>
    <t>Should improve or stay controlled</t>
  </si>
  <si>
    <t>Critical connection miss rate</t>
  </si>
  <si>
    <t>Missed high-criticality movements</t>
  </si>
  <si>
    <t>Should decline</t>
  </si>
  <si>
    <t>Hours added by connection loss</t>
  </si>
  <si>
    <t>Delay caused by missed connection</t>
  </si>
  <si>
    <t>Delayed rural refusal / RTO</t>
  </si>
  <si>
    <t>Outcome after connection loss</t>
  </si>
  <si>
    <t>Incremental cost / hour saved</t>
  </si>
  <si>
    <t>Economic efficiency</t>
  </si>
  <si>
    <t>Must justify protection spend</t>
  </si>
  <si>
    <t>SOLUTION 4 | PARTNER PERFORMANCE SCORECARD | ECONOMIC MODEL</t>
  </si>
  <si>
    <t>Partner-level accountability: difficulty-adjusted execution quality determines coaching, allocation and incentives.</t>
  </si>
  <si>
    <t>Illustrative recovery economics per 100 orders</t>
  </si>
  <si>
    <t>Base</t>
  </si>
  <si>
    <t>50% capture case</t>
  </si>
  <si>
    <t>RTO recovered / 100 orders</t>
  </si>
  <si>
    <t>Source scenario</t>
  </si>
  <si>
    <t>1.04 × 50%</t>
  </si>
  <si>
    <t>Reverse cost avoided / 100</t>
  </si>
  <si>
    <t>1.04 × ₹120</t>
  </si>
  <si>
    <t>0.52 × ₹120</t>
  </si>
  <si>
    <t>Operating cost / 100 orders</t>
  </si>
  <si>
    <t>Held constant</t>
  </si>
  <si>
    <t>Net value / 100 orders</t>
  </si>
  <si>
    <t>Value avoided − op cost</t>
  </si>
  <si>
    <t>RTO reduction at 50% capture</t>
  </si>
  <si>
    <t>pp</t>
  </si>
  <si>
    <t>Avoided savings bonus share</t>
  </si>
  <si>
    <t>Elite partner bonus share</t>
  </si>
  <si>
    <t>% of savings</t>
  </si>
  <si>
    <t>Illustrative partner volume</t>
  </si>
  <si>
    <t>Illustrative 2,000-delivery partner example</t>
  </si>
  <si>
    <t>RTO reduction</t>
  </si>
  <si>
    <t>3.0% × 2,000</t>
  </si>
  <si>
    <t>orders avoided</t>
  </si>
  <si>
    <t>60 RTOs avoided</t>
  </si>
  <si>
    <t>Reverse cost saved</t>
  </si>
  <si>
    <t>60 × ₹120</t>
  </si>
  <si>
    <t>Savings created</t>
  </si>
  <si>
    <t>Elite bonus</t>
  </si>
  <si>
    <t>25% × savings</t>
  </si>
  <si>
    <t>Bonus linked to avoided RTO savings</t>
  </si>
  <si>
    <t>Bonus / delivery</t>
  </si>
  <si>
    <t>Bonus ÷ 2,000</t>
  </si>
  <si>
    <t>₹ / delivery</t>
  </si>
  <si>
    <t>Illustrative payout intensity</t>
  </si>
  <si>
    <t>Coverage condition</t>
  </si>
  <si>
    <t>Partner must meet scorecard rules</t>
  </si>
  <si>
    <t>Qualitative</t>
  </si>
  <si>
    <t>Bonus only within defined governance framework</t>
  </si>
  <si>
    <t>Governance guardrails that protect the economics</t>
  </si>
  <si>
    <t>Guardrail</t>
  </si>
  <si>
    <t>Why it is needed</t>
  </si>
  <si>
    <t>Mechanism</t>
  </si>
  <si>
    <t>Difficulty adjustment</t>
  </si>
  <si>
    <t>Do not penalise hard rural mixes</t>
  </si>
  <si>
    <t>Actual performance vs expected for order mix</t>
  </si>
  <si>
    <t>Attribution</t>
  </si>
  <si>
    <t>Exclude failures outside partner control</t>
  </si>
  <si>
    <t>Customer / seller / network / weather / allocation excluded</t>
  </si>
  <si>
    <t>Verified attempt</t>
  </si>
  <si>
    <t>Prevent fake NDR or fake effort</t>
  </si>
  <si>
    <t>GPS + call + dwell + customer confirmation</t>
  </si>
  <si>
    <t>Hard gates</t>
  </si>
  <si>
    <t>Separate severe misconduct from score</t>
  </si>
  <si>
    <t>COD misappropriation, theft/tampering, fabricated POD, serious DNRS, fake attempts, false documents</t>
  </si>
  <si>
    <t>Operating rule</t>
  </si>
  <si>
    <t>Avoid one bad week causing demotion</t>
  </si>
  <si>
    <t>Rolling 4 weeks, updated weekly, min 150 orders, 2 consecutive weeks to demote</t>
  </si>
  <si>
    <t>PORTFOLIO SCENARIO | LINK THE SOLUTIONS TO THE RTO POOL</t>
  </si>
  <si>
    <t>Illustrative monthly scenario based on the recoverable RTO pool identified on the problem-sizing slide.</t>
  </si>
  <si>
    <t>Core inputs</t>
  </si>
  <si>
    <t>Calculated outcome</t>
  </si>
  <si>
    <t>Basis</t>
  </si>
  <si>
    <t>Orders / month</t>
  </si>
  <si>
    <t>Illustrative slide scenario</t>
  </si>
  <si>
    <t>DICE case-pack</t>
  </si>
  <si>
    <t>Post-intervention RTO</t>
  </si>
  <si>
    <t>Recoverable RTO pool</t>
  </si>
  <si>
    <t>5.47pp from six actionable problems</t>
  </si>
  <si>
    <t>RTOs avoided / month</t>
  </si>
  <si>
    <t>Capture rate</t>
  </si>
  <si>
    <t>Illustrative year-1 scenario</t>
  </si>
  <si>
    <t>Reverse cost savings / month</t>
  </si>
  <si>
    <t>Case-pack</t>
  </si>
  <si>
    <t>Savings / year</t>
  </si>
  <si>
    <t>Cost per successful delivery after reduction</t>
  </si>
  <si>
    <t>What this means for Slide 9</t>
  </si>
  <si>
    <t>Layer</t>
  </si>
  <si>
    <t>Unit economics logic</t>
  </si>
  <si>
    <t>Pilot proof point</t>
  </si>
  <si>
    <t>Solution 1: Customer-rider coordination</t>
  </si>
  <si>
    <t>Pre-dispatch: P(save) × ₹170 − cost</t>
  </si>
  <si>
    <t>Incremental NDR→delivery uplift</t>
  </si>
  <si>
    <t>Cost / saved order vs ₹170</t>
  </si>
  <si>
    <t>Solution 2: Rider economics</t>
  </si>
  <si>
    <t>Premium capped by P(save) × ₹120</t>
  </si>
  <si>
    <t>Verified difficult-delivery conversion</t>
  </si>
  <si>
    <t>Premium remains contribution-positive</t>
  </si>
  <si>
    <t>Solution 3: Rural Connection Shield</t>
  </si>
  <si>
    <t>Avoided delay / RTO value vs protection cost</t>
  </si>
  <si>
    <t>P90/P95 tail + connection miss rate</t>
  </si>
  <si>
    <t>Cost / hour saved + RTO impact</t>
  </si>
  <si>
    <t>Solution 4 + 8: Partner + Flash Store</t>
  </si>
  <si>
    <t>Execution quality and local recovery create / protect value</t>
  </si>
  <si>
    <t>Partner score + recovery net value</t>
  </si>
  <si>
    <t>Economics + CX + SLA + risk all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</si>
</sst>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₹#,##0;[Red]\(\₹#,##0\);\-"/>
    <numFmt numFmtId="165" formatCode="0.0%;[Red]\(0.0%\);\-"/>
    <numFmt numFmtId="166" formatCode="#,##0;[Red]\(#,##0\);\-"/>
    <numFmt numFmtId="167" formatCode="\₹#,##0.0;[Red]\(\₹#,##0.0\);\-"/>
    <numFmt numFmtId="168" formatCode="0.0%"/>
    <numFmt numFmtId="169" formatCode="0.000"/>
    <numFmt numFmtId="170" formatCode="\₹#,##0.00;[Red]\(\₹#,##0.00\);\-"/>
  </numFmts>
  <fonts count="20">
    <font>
      <sz val="11"/>
      <name val="Carlito"/>
    </font>
    <font>
      <b/>
      <sz val="16"/>
      <color rgb="FFFFFFFF"/>
      <name val="Carlito"/>
    </font>
    <font>
      <b/>
      <sz val="11"/>
      <color rgb="FF5B1A73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FF"/>
      <name val="Carlito"/>
    </font>
    <font>
      <b/>
      <sz val="11"/>
      <color rgb="FF000000"/>
      <name val="Carlito"/>
    </font>
    <font>
      <b/>
      <sz val="11"/>
      <color rgb="FF008000"/>
      <name val="Carlito"/>
    </font>
    <font>
      <sz val="11"/>
      <color rgb="FF000000"/>
      <name val="Carlito"/>
    </font>
    <font>
      <b/>
      <sz val="18"/>
      <color rgb="FFFFFFFF"/>
      <name val="Carlito"/>
    </font>
    <font>
      <b/>
      <sz val="16"/>
      <color rgb="FFE81E63"/>
      <name val="Carlito"/>
    </font>
    <font>
      <i/>
      <sz val="10"/>
      <color rgb="FF4B0A5F"/>
      <name val="Carlito"/>
    </font>
    <font>
      <b/>
      <sz val="10"/>
      <color rgb="FFFFFFFF"/>
      <name val="Carlito"/>
    </font>
    <font>
      <sz val="10"/>
      <color rgb="FF000000"/>
      <name val="Carlito"/>
    </font>
    <font>
      <b/>
      <sz val="14"/>
      <color rgb="FF7A0F8C"/>
      <name val="Carlito"/>
    </font>
    <font>
      <b/>
      <sz val="14"/>
      <color rgb="FF4B0A5F"/>
      <name val="Carlito"/>
    </font>
    <font>
      <b/>
      <sz val="14"/>
      <color rgb="FFE81E63"/>
      <name val="Carlito"/>
    </font>
    <font>
      <b/>
      <sz val="10"/>
      <color rgb="FF4B0A5F"/>
      <name val="Carlito"/>
    </font>
    <font>
      <sz val="10"/>
      <color rgb="FF008000"/>
      <name val="Carlito"/>
    </font>
    <font>
      <sz val="10"/>
      <color rgb="FF0000FF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2F124D"/>
      </patternFill>
    </fill>
    <fill>
      <patternFill patternType="solid">
        <fgColor rgb="FF5B1A73"/>
      </patternFill>
    </fill>
    <fill>
      <patternFill patternType="solid">
        <fgColor rgb="FFFFF2CC"/>
      </patternFill>
    </fill>
    <fill>
      <patternFill patternType="solid">
        <fgColor rgb="FFE51E56"/>
      </patternFill>
    </fill>
    <fill>
      <patternFill patternType="solid">
        <fgColor rgb="FFF8F8FB"/>
      </patternFill>
    </fill>
    <fill>
      <patternFill patternType="solid">
        <fgColor rgb="FFEAF7EE"/>
      </patternFill>
    </fill>
    <fill>
      <patternFill patternType="solid">
        <fgColor rgb="FF4B0A5F"/>
      </patternFill>
    </fill>
    <fill>
      <patternFill patternType="solid">
        <fgColor rgb="FFFFFFFF"/>
      </patternFill>
    </fill>
    <fill>
      <patternFill patternType="solid">
        <fgColor rgb="FF7A0F8C"/>
      </patternFill>
    </fill>
    <fill>
      <patternFill patternType="solid">
        <fgColor rgb="FFF7F4F8"/>
      </patternFill>
    </fill>
    <fill>
      <patternFill patternType="solid">
        <fgColor rgb="FFE8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0" fontId="8" fillId="6" borderId="0" xfId="0" applyFont="1" applyFill="1" applyAlignment="1">
      <alignment vertical="center" wrapText="1"/>
    </xf>
    <xf numFmtId="167" fontId="8" fillId="6" borderId="0" xfId="0" applyNumberFormat="1" applyFont="1" applyFill="1" applyAlignment="1">
      <alignment vertical="center" wrapText="1"/>
    </xf>
    <xf numFmtId="166" fontId="8" fillId="6" borderId="0" xfId="0" applyNumberFormat="1" applyFont="1" applyFill="1" applyAlignment="1">
      <alignment vertical="center" wrapText="1"/>
    </xf>
    <xf numFmtId="167" fontId="8" fillId="0" borderId="0" xfId="0" applyNumberFormat="1" applyFont="1" applyAlignment="1">
      <alignment vertical="center" wrapText="1"/>
    </xf>
    <xf numFmtId="0" fontId="8" fillId="7" borderId="0" xfId="0" applyFont="1" applyFill="1" applyAlignment="1">
      <alignment vertical="center" wrapText="1"/>
    </xf>
    <xf numFmtId="168" fontId="8" fillId="0" borderId="0" xfId="0" applyNumberFormat="1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3" fontId="6" fillId="4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4" fontId="3" fillId="5" borderId="0" xfId="0" applyNumberFormat="1" applyFont="1" applyFill="1" applyAlignment="1">
      <alignment horizontal="center" vertical="center" wrapText="1"/>
    </xf>
    <xf numFmtId="164" fontId="8" fillId="6" borderId="0" xfId="0" applyNumberFormat="1" applyFont="1" applyFill="1" applyAlignment="1">
      <alignment vertical="center" wrapText="1"/>
    </xf>
    <xf numFmtId="167" fontId="6" fillId="4" borderId="0" xfId="0" applyNumberFormat="1" applyFont="1" applyFill="1" applyAlignment="1">
      <alignment vertical="center" wrapText="1"/>
    </xf>
    <xf numFmtId="167" fontId="6" fillId="7" borderId="0" xfId="0" applyNumberFormat="1" applyFont="1" applyFill="1" applyAlignment="1">
      <alignment vertical="center" wrapText="1"/>
    </xf>
    <xf numFmtId="0" fontId="13" fillId="9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16" fillId="9" borderId="0" xfId="0" applyFont="1" applyFill="1" applyAlignment="1">
      <alignment vertical="center" wrapText="1"/>
    </xf>
    <xf numFmtId="0" fontId="17" fillId="11" borderId="0" xfId="0" applyFont="1" applyFill="1" applyAlignment="1">
      <alignment horizontal="center" vertical="center" wrapText="1"/>
    </xf>
    <xf numFmtId="168" fontId="13" fillId="9" borderId="0" xfId="0" applyNumberFormat="1" applyFont="1" applyFill="1" applyAlignment="1">
      <alignment vertical="center" wrapText="1"/>
    </xf>
    <xf numFmtId="164" fontId="13" fillId="9" borderId="0" xfId="0" applyNumberFormat="1" applyFont="1" applyFill="1" applyAlignment="1">
      <alignment vertical="center" wrapText="1"/>
    </xf>
    <xf numFmtId="164" fontId="18" fillId="9" borderId="0" xfId="0" applyNumberFormat="1" applyFont="1" applyFill="1" applyAlignment="1">
      <alignment vertical="center" wrapText="1"/>
    </xf>
    <xf numFmtId="168" fontId="18" fillId="9" borderId="0" xfId="0" applyNumberFormat="1" applyFont="1" applyFill="1" applyAlignment="1">
      <alignment vertical="center" wrapText="1"/>
    </xf>
    <xf numFmtId="3" fontId="18" fillId="9" borderId="0" xfId="0" applyNumberFormat="1" applyFont="1" applyFill="1" applyAlignment="1">
      <alignment vertical="center" wrapText="1"/>
    </xf>
    <xf numFmtId="3" fontId="13" fillId="9" borderId="0" xfId="0" applyNumberFormat="1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168" fontId="19" fillId="9" borderId="0" xfId="0" applyNumberFormat="1" applyFont="1" applyFill="1" applyAlignment="1">
      <alignment vertical="center" wrapText="1"/>
    </xf>
    <xf numFmtId="169" fontId="13" fillId="9" borderId="0" xfId="0" applyNumberFormat="1" applyFont="1" applyFill="1" applyAlignment="1">
      <alignment vertical="center" wrapText="1"/>
    </xf>
    <xf numFmtId="164" fontId="19" fillId="9" borderId="0" xfId="0" applyNumberFormat="1" applyFont="1" applyFill="1" applyAlignment="1">
      <alignment vertical="center" wrapText="1"/>
    </xf>
    <xf numFmtId="3" fontId="19" fillId="9" borderId="0" xfId="0" applyNumberFormat="1" applyFont="1" applyFill="1" applyAlignment="1">
      <alignment vertical="center" wrapText="1"/>
    </xf>
    <xf numFmtId="170" fontId="13" fillId="9" borderId="0" xfId="0" applyNumberFormat="1" applyFont="1" applyFill="1" applyAlignment="1">
      <alignment vertical="center" wrapText="1"/>
    </xf>
    <xf numFmtId="10" fontId="13" fillId="9" borderId="0" xfId="0" applyNumberFormat="1" applyFont="1" applyFill="1" applyAlignment="1">
      <alignment vertical="center" wrapText="1"/>
    </xf>
    <xf numFmtId="167" fontId="13" fillId="9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164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0" fontId="3" fillId="10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 wrapText="1"/>
    </xf>
    <xf numFmtId="168" fontId="12" fillId="8" borderId="0" xfId="0" applyNumberFormat="1" applyFont="1" applyFill="1" applyAlignment="1">
      <alignment horizontal="center" vertical="center" wrapText="1"/>
    </xf>
    <xf numFmtId="169" fontId="12" fillId="8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11" fillId="9" borderId="0" xfId="0" applyFont="1" applyFill="1" applyAlignment="1">
      <alignment vertical="center" wrapText="1"/>
    </xf>
    <xf numFmtId="0" fontId="12" fillId="10" borderId="0" xfId="0" applyFont="1" applyFill="1" applyAlignment="1">
      <alignment horizontal="left" wrapText="1"/>
    </xf>
    <xf numFmtId="0" fontId="12" fillId="10" borderId="0" xfId="0" applyFont="1" applyFill="1" applyAlignment="1">
      <alignment horizontal="left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/>
    </xf>
    <xf numFmtId="0" fontId="11" fillId="0" borderId="0" xfId="0" applyFont="1" applyAlignment="1">
      <alignment wrapText="1"/>
    </xf>
    <xf numFmtId="0" fontId="0" fillId="0" borderId="0" xfId="0" applyAlignment="1"/>
    <xf numFmtId="0" fontId="6" fillId="9" borderId="0" xfId="0" applyFont="1" applyFill="1" applyAlignment="1">
      <alignment horizontal="left" vertical="center" wrapText="1"/>
    </xf>
    <xf numFmtId="165" fontId="8" fillId="9" borderId="0" xfId="0" applyNumberFormat="1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8" fillId="9" borderId="0" xfId="0" applyFont="1" applyFill="1" applyAlignment="1">
      <alignment horizontal="left" vertical="center" wrapText="1"/>
    </xf>
    <xf numFmtId="164" fontId="8" fillId="9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sqref="A1:H1"/>
    </sheetView>
  </sheetViews>
  <sheetFormatPr defaultColWidth="8.875" defaultRowHeight="15"/>
  <cols>
    <col min="1" max="1" width="22" customWidth="1"/>
    <col min="2" max="2" width="72" customWidth="1"/>
    <col min="3" max="8" width="14" customWidth="1"/>
  </cols>
  <sheetData>
    <row r="1" spans="1:8" ht="37.35" customHeight="1">
      <c r="A1" s="51" t="s">
        <v>0</v>
      </c>
      <c r="B1" s="77"/>
      <c r="C1" s="77"/>
      <c r="D1" s="77"/>
      <c r="E1" s="77"/>
      <c r="F1" s="77"/>
      <c r="G1" s="77"/>
      <c r="H1" s="77"/>
    </row>
    <row r="3" spans="1:8" ht="15.95">
      <c r="A3" s="2" t="s">
        <v>1</v>
      </c>
      <c r="B3" s="1" t="s">
        <v>2</v>
      </c>
      <c r="C3" s="1"/>
      <c r="D3" s="1"/>
      <c r="E3" s="1"/>
      <c r="F3" s="1"/>
      <c r="G3" s="1"/>
      <c r="H3" s="1"/>
    </row>
    <row r="4" spans="1:8" ht="15.95">
      <c r="A4" s="2" t="s">
        <v>3</v>
      </c>
      <c r="B4" s="1" t="s">
        <v>4</v>
      </c>
      <c r="C4" s="1"/>
      <c r="D4" s="1"/>
      <c r="E4" s="1"/>
      <c r="F4" s="1"/>
      <c r="G4" s="1"/>
      <c r="H4" s="1"/>
    </row>
    <row r="5" spans="1:8" ht="15.95">
      <c r="A5" s="2" t="s">
        <v>5</v>
      </c>
      <c r="B5" s="1" t="s">
        <v>6</v>
      </c>
      <c r="C5" s="1"/>
      <c r="D5" s="1"/>
      <c r="E5" s="1"/>
      <c r="F5" s="1"/>
      <c r="G5" s="1"/>
      <c r="H5" s="1"/>
    </row>
    <row r="6" spans="1:8" ht="15.95">
      <c r="A6" s="2" t="s">
        <v>7</v>
      </c>
      <c r="B6" s="1" t="s">
        <v>8</v>
      </c>
      <c r="C6" s="1"/>
      <c r="D6" s="1"/>
      <c r="E6" s="1"/>
      <c r="F6" s="1"/>
      <c r="G6" s="1"/>
      <c r="H6" s="1"/>
    </row>
    <row r="7" spans="1:8" ht="32.1">
      <c r="A7" s="2" t="s">
        <v>9</v>
      </c>
      <c r="B7" s="1" t="s">
        <v>10</v>
      </c>
      <c r="C7" s="1"/>
      <c r="D7" s="1"/>
      <c r="E7" s="1"/>
      <c r="F7" s="1"/>
      <c r="G7" s="1"/>
      <c r="H7" s="1"/>
    </row>
    <row r="8" spans="1:8" ht="32.1">
      <c r="A8" s="2" t="s">
        <v>11</v>
      </c>
      <c r="B8" s="1" t="s">
        <v>12</v>
      </c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 ht="27.95" customHeight="1">
      <c r="A10" s="54" t="s">
        <v>13</v>
      </c>
      <c r="B10" s="55"/>
      <c r="C10" s="55"/>
      <c r="D10" s="55"/>
      <c r="E10" s="55"/>
      <c r="F10" s="55"/>
      <c r="G10" s="55"/>
      <c r="H10" s="55"/>
    </row>
    <row r="11" spans="1:8" ht="15.95">
      <c r="A11" s="3" t="s">
        <v>14</v>
      </c>
      <c r="B11" s="1" t="s">
        <v>15</v>
      </c>
      <c r="C11" s="1"/>
      <c r="D11" s="1"/>
      <c r="E11" s="1"/>
      <c r="F11" s="1"/>
      <c r="G11" s="1"/>
      <c r="H11" s="1"/>
    </row>
    <row r="12" spans="1:8" ht="15.95">
      <c r="A12" s="4" t="s">
        <v>16</v>
      </c>
      <c r="B12" s="1" t="s">
        <v>17</v>
      </c>
      <c r="C12" s="1"/>
      <c r="D12" s="1"/>
      <c r="E12" s="1"/>
      <c r="F12" s="1"/>
      <c r="G12" s="1"/>
      <c r="H12" s="1"/>
    </row>
    <row r="13" spans="1:8" ht="15.95">
      <c r="A13" s="5" t="s">
        <v>18</v>
      </c>
      <c r="B13" s="1" t="s">
        <v>19</v>
      </c>
      <c r="C13" s="1"/>
      <c r="D13" s="1"/>
      <c r="E13" s="1"/>
      <c r="F13" s="1"/>
      <c r="G13" s="1"/>
      <c r="H13" s="1"/>
    </row>
    <row r="14" spans="1:8" ht="15.95">
      <c r="A14" s="6" t="s">
        <v>20</v>
      </c>
      <c r="B14" s="1" t="s">
        <v>21</v>
      </c>
      <c r="C14" s="1"/>
      <c r="D14" s="1"/>
      <c r="E14" s="1"/>
      <c r="F14" s="1"/>
      <c r="G14" s="1"/>
      <c r="H14" s="1"/>
    </row>
    <row r="15" spans="1:8" ht="32.1">
      <c r="A15" s="7" t="s">
        <v>22</v>
      </c>
      <c r="B15" s="1" t="s">
        <v>23</v>
      </c>
      <c r="C15" s="1"/>
      <c r="D15" s="1"/>
      <c r="E15" s="1"/>
      <c r="F15" s="1"/>
      <c r="G15" s="1"/>
      <c r="H15" s="1"/>
    </row>
  </sheetData>
  <mergeCells count="2">
    <mergeCell ref="A1:H1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workbookViewId="0">
      <selection activeCell="G1" sqref="G1"/>
    </sheetView>
  </sheetViews>
  <sheetFormatPr defaultColWidth="8.875" defaultRowHeight="15"/>
  <cols>
    <col min="1" max="1" width="35" customWidth="1"/>
    <col min="2" max="2" width="18" customWidth="1"/>
    <col min="3" max="3" width="42" customWidth="1"/>
    <col min="4" max="6" width="14" customWidth="1"/>
  </cols>
  <sheetData>
    <row r="1" spans="1:26" ht="37.35" customHeight="1">
      <c r="A1" s="51" t="s">
        <v>24</v>
      </c>
      <c r="B1" s="52"/>
      <c r="C1" s="52"/>
      <c r="D1" s="52"/>
      <c r="E1" s="52"/>
      <c r="F1" s="52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25</v>
      </c>
      <c r="B3" s="52"/>
      <c r="C3" s="52"/>
      <c r="D3" s="52"/>
      <c r="E3" s="52"/>
      <c r="F3" s="52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95">
      <c r="A4" s="8" t="s">
        <v>26</v>
      </c>
      <c r="B4" s="8" t="s">
        <v>27</v>
      </c>
      <c r="C4" s="8" t="s">
        <v>28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95">
      <c r="A5" s="9" t="s">
        <v>29</v>
      </c>
      <c r="B5" s="10">
        <v>50</v>
      </c>
      <c r="C5" s="9" t="s">
        <v>30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95">
      <c r="A6" s="9" t="s">
        <v>31</v>
      </c>
      <c r="B6" s="10">
        <v>120</v>
      </c>
      <c r="C6" s="9" t="s">
        <v>32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95">
      <c r="A7" s="9" t="s">
        <v>33</v>
      </c>
      <c r="B7" s="11">
        <v>0.17</v>
      </c>
      <c r="C7" s="9" t="s">
        <v>34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95">
      <c r="A8" s="9" t="s">
        <v>35</v>
      </c>
      <c r="B8" s="10">
        <f>B5+B6</f>
        <v>170</v>
      </c>
      <c r="C8" s="9" t="s">
        <v>36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95">
      <c r="A9" s="9" t="s">
        <v>37</v>
      </c>
      <c r="B9" s="16">
        <v>50</v>
      </c>
      <c r="C9" s="9" t="s">
        <v>38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32.1">
      <c r="A10" s="9" t="s">
        <v>39</v>
      </c>
      <c r="B10" s="16">
        <f>(100*B5+100*B7*B6)/(100*(1-B7))</f>
        <v>84.819277108433738</v>
      </c>
      <c r="C10" s="9" t="s">
        <v>38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7.95" customHeight="1">
      <c r="A11" s="78" t="s">
        <v>40</v>
      </c>
      <c r="B11" s="79">
        <f>B10/B9-1</f>
        <v>0.69638554216867465</v>
      </c>
      <c r="C11" s="80" t="s">
        <v>41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8"/>
      <c r="B12" s="8"/>
      <c r="C12" s="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27.95" customHeight="1">
      <c r="A13" s="54" t="s">
        <v>42</v>
      </c>
      <c r="B13" s="56"/>
      <c r="C13" s="57"/>
      <c r="D13" s="52"/>
      <c r="E13" s="52"/>
      <c r="F13" s="52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95">
      <c r="A14" s="8" t="s">
        <v>43</v>
      </c>
      <c r="B14" s="26" t="s">
        <v>44</v>
      </c>
      <c r="C14" s="8" t="s">
        <v>45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95">
      <c r="A15" s="13" t="s">
        <v>46</v>
      </c>
      <c r="B15" s="27">
        <v>2</v>
      </c>
      <c r="C15" s="15" t="s">
        <v>47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95">
      <c r="A16" s="13" t="s">
        <v>48</v>
      </c>
      <c r="B16" s="27">
        <v>5</v>
      </c>
      <c r="C16" s="15" t="s">
        <v>49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95">
      <c r="A17" s="13" t="s">
        <v>50</v>
      </c>
      <c r="B17" s="27">
        <v>10</v>
      </c>
      <c r="C17" s="15" t="s">
        <v>51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95">
      <c r="A18" s="13" t="s">
        <v>52</v>
      </c>
      <c r="B18" s="27">
        <v>15</v>
      </c>
      <c r="C18" s="27" t="s">
        <v>53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95">
      <c r="A19" s="13" t="s">
        <v>54</v>
      </c>
      <c r="B19" s="27">
        <v>20</v>
      </c>
      <c r="C19" s="27" t="s">
        <v>55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7.95" customHeight="1">
      <c r="A20" s="81" t="s">
        <v>56</v>
      </c>
      <c r="B20" s="82">
        <v>30</v>
      </c>
      <c r="C20" s="80" t="s">
        <v>57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8"/>
      <c r="B21" s="8"/>
      <c r="C21" s="8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27.95" customHeight="1">
      <c r="A22" s="54" t="s">
        <v>58</v>
      </c>
      <c r="B22" s="58"/>
      <c r="C22" s="57"/>
      <c r="D22" s="52"/>
      <c r="E22" s="52"/>
      <c r="F22" s="52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95">
      <c r="A23" s="8" t="s">
        <v>26</v>
      </c>
      <c r="B23" s="26" t="s">
        <v>27</v>
      </c>
      <c r="C23" s="8" t="s">
        <v>59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95">
      <c r="A24" s="9" t="s">
        <v>60</v>
      </c>
      <c r="B24" s="12">
        <v>10000</v>
      </c>
      <c r="C24" s="9" t="s">
        <v>61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95">
      <c r="A25" s="9" t="s">
        <v>62</v>
      </c>
      <c r="B25" s="10">
        <v>5</v>
      </c>
      <c r="C25" s="9" t="s">
        <v>63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95">
      <c r="A26" s="9" t="s">
        <v>64</v>
      </c>
      <c r="B26" s="12">
        <v>600</v>
      </c>
      <c r="C26" s="9" t="s">
        <v>61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95">
      <c r="A27" s="9" t="s">
        <v>65</v>
      </c>
      <c r="B27" s="11">
        <f>B26/B24</f>
        <v>0.06</v>
      </c>
      <c r="C27" s="9" t="s">
        <v>66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27.95" customHeight="1">
      <c r="A28" s="78" t="s">
        <v>67</v>
      </c>
      <c r="B28" s="82">
        <f>B24*B25</f>
        <v>50000</v>
      </c>
      <c r="C28" s="80" t="s">
        <v>68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8"/>
      <c r="B29" s="8"/>
      <c r="C29" s="8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27.95" customHeight="1">
      <c r="A30" s="54" t="s">
        <v>69</v>
      </c>
      <c r="B30" s="59"/>
      <c r="C30" s="57"/>
      <c r="D30" s="52"/>
      <c r="E30" s="52"/>
      <c r="F30" s="5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95">
      <c r="A31" s="8" t="s">
        <v>26</v>
      </c>
      <c r="B31" s="26" t="s">
        <v>27</v>
      </c>
      <c r="C31" s="8" t="s">
        <v>28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95">
      <c r="A32" s="9" t="s">
        <v>70</v>
      </c>
      <c r="B32" s="11">
        <v>0.3</v>
      </c>
      <c r="C32" s="9" t="s">
        <v>71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95">
      <c r="A33" s="9" t="s">
        <v>72</v>
      </c>
      <c r="B33" s="10">
        <v>15</v>
      </c>
      <c r="C33" s="9" t="s">
        <v>73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95">
      <c r="A34" s="9" t="s">
        <v>74</v>
      </c>
      <c r="B34" s="12">
        <v>1000</v>
      </c>
      <c r="C34" s="9" t="s">
        <v>75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32.1">
      <c r="A35" s="9" t="s">
        <v>76</v>
      </c>
      <c r="B35" s="9" t="s">
        <v>77</v>
      </c>
      <c r="C35" s="9" t="s">
        <v>78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5">
    <mergeCell ref="A1:F1"/>
    <mergeCell ref="A3:F3"/>
    <mergeCell ref="A13:F13"/>
    <mergeCell ref="A22:F22"/>
    <mergeCell ref="A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"/>
  <sheetViews>
    <sheetView tabSelected="1" workbookViewId="0">
      <selection sqref="A1:F1"/>
    </sheetView>
  </sheetViews>
  <sheetFormatPr defaultColWidth="8.875" defaultRowHeight="15"/>
  <cols>
    <col min="1" max="1" width="28" customWidth="1"/>
    <col min="2" max="2" width="18" customWidth="1"/>
    <col min="3" max="3" width="19" customWidth="1"/>
    <col min="4" max="5" width="22" customWidth="1"/>
    <col min="6" max="6" width="36" customWidth="1"/>
  </cols>
  <sheetData>
    <row r="1" spans="1:26" ht="37.35" customHeight="1">
      <c r="A1" s="51" t="s">
        <v>79</v>
      </c>
      <c r="B1" s="52"/>
      <c r="C1" s="52"/>
      <c r="D1" s="52"/>
      <c r="E1" s="52"/>
      <c r="F1" s="52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80</v>
      </c>
      <c r="B3" s="52"/>
      <c r="C3" s="52"/>
      <c r="D3" s="52"/>
      <c r="E3" s="52"/>
      <c r="F3" s="52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2.1">
      <c r="A4" s="8" t="s">
        <v>43</v>
      </c>
      <c r="B4" s="8" t="s">
        <v>44</v>
      </c>
      <c r="C4" s="8" t="s">
        <v>81</v>
      </c>
      <c r="D4" s="8" t="s">
        <v>82</v>
      </c>
      <c r="E4" s="8" t="s">
        <v>83</v>
      </c>
      <c r="F4" s="8" t="s">
        <v>84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95">
      <c r="A5" s="9" t="s">
        <v>46</v>
      </c>
      <c r="B5" s="10">
        <f>'Core Inputs'!B15</f>
        <v>2</v>
      </c>
      <c r="C5" s="11">
        <f>B5/'Core Inputs'!$B$8</f>
        <v>1.1764705882352941E-2</v>
      </c>
      <c r="D5" s="10">
        <f>0.1*'Core Inputs'!$B$8</f>
        <v>17</v>
      </c>
      <c r="E5" s="10">
        <f t="shared" ref="E5:E10" si="0">D5-B5</f>
        <v>15</v>
      </c>
      <c r="F5" s="9" t="s">
        <v>85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95">
      <c r="A6" s="9" t="s">
        <v>48</v>
      </c>
      <c r="B6" s="10">
        <f>'Core Inputs'!B16</f>
        <v>5</v>
      </c>
      <c r="C6" s="11">
        <f>B6/'Core Inputs'!$B$8</f>
        <v>2.9411764705882353E-2</v>
      </c>
      <c r="D6" s="10">
        <f>0.1*'Core Inputs'!$B$8</f>
        <v>17</v>
      </c>
      <c r="E6" s="10">
        <f t="shared" si="0"/>
        <v>12</v>
      </c>
      <c r="F6" s="9" t="s">
        <v>86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95">
      <c r="A7" s="9" t="s">
        <v>50</v>
      </c>
      <c r="B7" s="10">
        <f>'Core Inputs'!B17</f>
        <v>10</v>
      </c>
      <c r="C7" s="11">
        <f>B7/'Core Inputs'!$B$8</f>
        <v>5.8823529411764705E-2</v>
      </c>
      <c r="D7" s="10">
        <f>0.1*'Core Inputs'!$B$8</f>
        <v>17</v>
      </c>
      <c r="E7" s="10">
        <f t="shared" si="0"/>
        <v>7</v>
      </c>
      <c r="F7" s="9" t="s">
        <v>87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95">
      <c r="A8" s="9" t="s">
        <v>52</v>
      </c>
      <c r="B8" s="10">
        <f>'Core Inputs'!B18</f>
        <v>15</v>
      </c>
      <c r="C8" s="11">
        <f>B8/'Core Inputs'!$B$6</f>
        <v>0.125</v>
      </c>
      <c r="D8" s="10">
        <f>0.1*'Core Inputs'!$B$6</f>
        <v>12</v>
      </c>
      <c r="E8" s="10">
        <f t="shared" si="0"/>
        <v>-3</v>
      </c>
      <c r="F8" s="9" t="s">
        <v>88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95">
      <c r="A9" s="9" t="s">
        <v>54</v>
      </c>
      <c r="B9" s="10">
        <f>'Core Inputs'!B19</f>
        <v>20</v>
      </c>
      <c r="C9" s="11">
        <f>B9/'Core Inputs'!$B$6</f>
        <v>0.16666666666666666</v>
      </c>
      <c r="D9" s="10">
        <f>0.1*'Core Inputs'!$B$6</f>
        <v>12</v>
      </c>
      <c r="E9" s="10">
        <f t="shared" si="0"/>
        <v>-8</v>
      </c>
      <c r="F9" s="9" t="s">
        <v>89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95">
      <c r="A10" s="9" t="s">
        <v>56</v>
      </c>
      <c r="B10" s="10">
        <f>'Core Inputs'!B20</f>
        <v>30</v>
      </c>
      <c r="C10" s="11">
        <f>B10/'Core Inputs'!$B$6</f>
        <v>0.25</v>
      </c>
      <c r="D10" s="10">
        <f>0.1*'Core Inputs'!$B$6</f>
        <v>12</v>
      </c>
      <c r="E10" s="10">
        <f t="shared" si="0"/>
        <v>-18</v>
      </c>
      <c r="F10" s="9" t="s">
        <v>90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7.95" customHeight="1">
      <c r="A12" s="53" t="s">
        <v>91</v>
      </c>
      <c r="B12" s="52"/>
      <c r="C12" s="52"/>
      <c r="D12" s="52"/>
      <c r="E12" s="52"/>
      <c r="F12" s="52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95">
      <c r="A13" s="8" t="s">
        <v>92</v>
      </c>
      <c r="B13" s="8" t="s">
        <v>93</v>
      </c>
      <c r="C13" s="8" t="s">
        <v>94</v>
      </c>
      <c r="D13" s="8" t="s">
        <v>95</v>
      </c>
      <c r="E13" s="8" t="s">
        <v>96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95">
      <c r="A14" s="13" t="s">
        <v>67</v>
      </c>
      <c r="B14" s="13" t="s">
        <v>97</v>
      </c>
      <c r="C14" s="27">
        <f>'Core Inputs'!B28</f>
        <v>50000</v>
      </c>
      <c r="D14" s="27">
        <f>C14</f>
        <v>50000</v>
      </c>
      <c r="E14" s="13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48">
      <c r="A15" s="13" t="s">
        <v>64</v>
      </c>
      <c r="B15" s="13" t="s">
        <v>98</v>
      </c>
      <c r="C15" s="15">
        <v>600</v>
      </c>
      <c r="D15" s="15"/>
      <c r="E15" s="13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32.1">
      <c r="A16" s="13" t="s">
        <v>99</v>
      </c>
      <c r="B16" s="13" t="s">
        <v>100</v>
      </c>
      <c r="C16" s="14">
        <f>D14/C15</f>
        <v>83.333333333333329</v>
      </c>
      <c r="D16" s="14">
        <f>C16</f>
        <v>83.333333333333329</v>
      </c>
      <c r="E16" s="13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32.1">
      <c r="A17" s="13" t="s">
        <v>101</v>
      </c>
      <c r="B17" s="13" t="s">
        <v>102</v>
      </c>
      <c r="C17" s="14">
        <f>C15*'Core Inputs'!B6-C14</f>
        <v>22000</v>
      </c>
      <c r="D17" s="14">
        <f>C17</f>
        <v>22000</v>
      </c>
      <c r="E17" s="13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3">
    <mergeCell ref="A1:F1"/>
    <mergeCell ref="A3:F3"/>
    <mergeCell ref="A12:F12"/>
  </mergeCells>
  <conditionalFormatting sqref="C5:C10">
    <cfRule type="dataBar" priority="1">
      <dataBar>
        <cfvo type="min"/>
        <cfvo type="max"/>
        <color rgb="FFE91E63"/>
      </dataBar>
    </cfRule>
    <cfRule type="dataBar" priority="3">
      <dataBar>
        <cfvo type="min"/>
        <cfvo type="max"/>
        <color rgb="FFE91E63"/>
      </dataBar>
      <extLst>
        <ext xmlns:x14="http://schemas.microsoft.com/office/spreadsheetml/2009/9/main" uri="{B025F937-C7B1-47D3-B67F-A62EFF666E3E}">
          <x14:id>{E036CEA9-E60C-1DFC-156C-164E5AE765F4}</x14:id>
        </ext>
      </extLst>
    </cfRule>
  </conditionalFormatting>
  <conditionalFormatting sqref="E5:E10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36CEA9-E60C-1DFC-156C-164E5AE765F4}">
            <x14:dataBar>
              <x14:cfvo type="min"/>
              <x14:cfvo type="max"/>
              <x14:negativeFillColor auto="1"/>
              <x14:axisColor auto="1"/>
            </x14:dataBar>
          </x14:cfRule>
          <xm:sqref>C5:C10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workbookViewId="0">
      <selection sqref="A1:G1"/>
    </sheetView>
  </sheetViews>
  <sheetFormatPr defaultColWidth="8.875" defaultRowHeight="15"/>
  <sheetData>
    <row r="1" spans="1:26" ht="37.35" customHeight="1">
      <c r="A1" s="51" t="s">
        <v>103</v>
      </c>
      <c r="B1" s="52"/>
      <c r="C1" s="52"/>
      <c r="D1" s="52"/>
      <c r="E1" s="52"/>
      <c r="F1" s="52"/>
      <c r="G1" s="52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104</v>
      </c>
      <c r="B3" s="52"/>
      <c r="C3" s="52"/>
      <c r="D3" s="53" t="s">
        <v>105</v>
      </c>
      <c r="E3" s="52"/>
      <c r="F3" s="52"/>
      <c r="G3" s="52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2.1">
      <c r="A4" s="8" t="s">
        <v>26</v>
      </c>
      <c r="B4" s="8" t="s">
        <v>27</v>
      </c>
      <c r="C4" s="25"/>
      <c r="D4" s="8" t="s">
        <v>92</v>
      </c>
      <c r="E4" s="8" t="s">
        <v>93</v>
      </c>
      <c r="F4" s="8" t="s">
        <v>95</v>
      </c>
      <c r="G4" s="8" t="s">
        <v>106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48">
      <c r="A5" s="9" t="s">
        <v>60</v>
      </c>
      <c r="B5" s="12">
        <f>'Core Inputs'!B24</f>
        <v>10000</v>
      </c>
      <c r="C5" s="25"/>
      <c r="D5" s="9" t="s">
        <v>67</v>
      </c>
      <c r="E5" s="9" t="s">
        <v>107</v>
      </c>
      <c r="F5" s="16">
        <f>B7</f>
        <v>50000</v>
      </c>
      <c r="G5" s="9" t="s">
        <v>108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48">
      <c r="A6" s="9" t="s">
        <v>109</v>
      </c>
      <c r="B6" s="10">
        <f>'Core Inputs'!B25</f>
        <v>5</v>
      </c>
      <c r="C6" s="25"/>
      <c r="D6" s="9" t="s">
        <v>110</v>
      </c>
      <c r="E6" s="9" t="s">
        <v>111</v>
      </c>
      <c r="F6" s="16">
        <f>B8*'Core Inputs'!B6</f>
        <v>72000</v>
      </c>
      <c r="G6" s="9" t="s">
        <v>112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63.95">
      <c r="A7" s="9" t="s">
        <v>67</v>
      </c>
      <c r="B7" s="10">
        <f>'Core Inputs'!B28</f>
        <v>50000</v>
      </c>
      <c r="C7" s="25"/>
      <c r="D7" s="9" t="s">
        <v>113</v>
      </c>
      <c r="E7" s="9" t="s">
        <v>114</v>
      </c>
      <c r="F7" s="16">
        <f>F6-F5</f>
        <v>22000</v>
      </c>
      <c r="G7" s="9" t="s">
        <v>115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48">
      <c r="A8" s="9" t="s">
        <v>64</v>
      </c>
      <c r="B8" s="12">
        <f>'Core Inputs'!B26</f>
        <v>600</v>
      </c>
      <c r="C8" s="25"/>
      <c r="D8" s="9" t="s">
        <v>99</v>
      </c>
      <c r="E8" s="9" t="s">
        <v>116</v>
      </c>
      <c r="F8" s="16">
        <f>F5/B8</f>
        <v>83.333333333333329</v>
      </c>
      <c r="G8" s="9" t="s">
        <v>117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2.1">
      <c r="A9" s="9" t="s">
        <v>118</v>
      </c>
      <c r="B9" s="18">
        <f>B8/B5</f>
        <v>0.06</v>
      </c>
      <c r="C9" s="25"/>
      <c r="D9" s="9" t="s">
        <v>119</v>
      </c>
      <c r="E9" s="9" t="s">
        <v>120</v>
      </c>
      <c r="F9" s="17" t="str">
        <f>IF(F8&lt;'Core Inputs'!B6,"PASS","FAIL")</f>
        <v>PASS</v>
      </c>
      <c r="G9" s="9" t="s">
        <v>121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2">
    <mergeCell ref="A1:G1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0"/>
  <sheetViews>
    <sheetView workbookViewId="0">
      <selection sqref="A1:H1"/>
    </sheetView>
  </sheetViews>
  <sheetFormatPr defaultColWidth="8.875" defaultRowHeight="15"/>
  <cols>
    <col min="1" max="2" width="18" customWidth="1"/>
    <col min="3" max="3" width="22" customWidth="1"/>
    <col min="4" max="4" width="20" customWidth="1"/>
    <col min="5" max="5" width="18" customWidth="1"/>
    <col min="6" max="6" width="20" customWidth="1"/>
    <col min="7" max="8" width="14" customWidth="1"/>
  </cols>
  <sheetData>
    <row r="1" spans="1:26" ht="37.35" customHeight="1">
      <c r="A1" s="51" t="s">
        <v>122</v>
      </c>
      <c r="B1" s="52"/>
      <c r="C1" s="52"/>
      <c r="D1" s="52"/>
      <c r="E1" s="52"/>
      <c r="F1" s="52"/>
      <c r="G1" s="52"/>
      <c r="H1" s="52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123</v>
      </c>
      <c r="B3" s="52"/>
      <c r="C3" s="52"/>
      <c r="D3" s="52"/>
      <c r="E3" s="52"/>
      <c r="F3" s="52"/>
      <c r="G3" s="52"/>
      <c r="H3" s="52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95">
      <c r="A4" s="8" t="s">
        <v>124</v>
      </c>
      <c r="B4" s="8" t="s">
        <v>64</v>
      </c>
      <c r="C4" s="8" t="s">
        <v>125</v>
      </c>
      <c r="D4" s="8" t="s">
        <v>126</v>
      </c>
      <c r="E4" s="8" t="s">
        <v>101</v>
      </c>
      <c r="F4" s="8" t="s">
        <v>99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>
      <c r="A5" s="18">
        <v>0.02</v>
      </c>
      <c r="B5" s="12">
        <f>A5*'Core Inputs'!$B$24</f>
        <v>200</v>
      </c>
      <c r="C5" s="10">
        <f>B5*'Core Inputs'!$B$6</f>
        <v>24000</v>
      </c>
      <c r="D5" s="10">
        <f>'Core Inputs'!$B$28</f>
        <v>50000</v>
      </c>
      <c r="E5" s="10">
        <f>C5-D5</f>
        <v>-26000</v>
      </c>
      <c r="F5" s="16">
        <f>D5/B5</f>
        <v>250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>
      <c r="A6" s="18">
        <v>0.05</v>
      </c>
      <c r="B6" s="12">
        <f>A6*'Core Inputs'!$B$24</f>
        <v>500</v>
      </c>
      <c r="C6" s="10">
        <f>B6*'Core Inputs'!$B$6</f>
        <v>60000</v>
      </c>
      <c r="D6" s="10">
        <f>'Core Inputs'!$B$28</f>
        <v>50000</v>
      </c>
      <c r="E6" s="10">
        <f>C6-D6</f>
        <v>10000</v>
      </c>
      <c r="F6" s="16">
        <f>D6/B6</f>
        <v>100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>
      <c r="A7" s="18">
        <v>0.1</v>
      </c>
      <c r="B7" s="12">
        <f>A7*'Core Inputs'!$B$24</f>
        <v>1000</v>
      </c>
      <c r="C7" s="10">
        <f>B7*'Core Inputs'!$B$6</f>
        <v>120000</v>
      </c>
      <c r="D7" s="10">
        <f>'Core Inputs'!$B$28</f>
        <v>50000</v>
      </c>
      <c r="E7" s="10">
        <f>C7-D7</f>
        <v>70000</v>
      </c>
      <c r="F7" s="16">
        <f>D7/B7</f>
        <v>50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18">
        <v>0.15</v>
      </c>
      <c r="B8" s="12">
        <f>A8*'Core Inputs'!$B$24</f>
        <v>1500</v>
      </c>
      <c r="C8" s="10">
        <f>B8*'Core Inputs'!$B$6</f>
        <v>180000</v>
      </c>
      <c r="D8" s="10">
        <f>'Core Inputs'!$B$28</f>
        <v>50000</v>
      </c>
      <c r="E8" s="10">
        <f>C8-D8</f>
        <v>130000</v>
      </c>
      <c r="F8" s="16">
        <f>D8/B8</f>
        <v>33.333333333333336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18">
        <v>0.2</v>
      </c>
      <c r="B9" s="12">
        <f>A9*'Core Inputs'!$B$24</f>
        <v>2000</v>
      </c>
      <c r="C9" s="10">
        <f>B9*'Core Inputs'!$B$6</f>
        <v>240000</v>
      </c>
      <c r="D9" s="10">
        <f>'Core Inputs'!$B$28</f>
        <v>50000</v>
      </c>
      <c r="E9" s="10">
        <f>C9-D9</f>
        <v>190000</v>
      </c>
      <c r="F9" s="16">
        <f>D9/B9</f>
        <v>25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7.95" customHeight="1">
      <c r="A11" s="53" t="s">
        <v>127</v>
      </c>
      <c r="B11" s="52"/>
      <c r="C11" s="52"/>
      <c r="D11" s="52"/>
      <c r="E11" s="52"/>
      <c r="F11" s="52"/>
      <c r="G11" s="52"/>
      <c r="H11" s="5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95">
      <c r="A12" s="8" t="s">
        <v>92</v>
      </c>
      <c r="B12" s="8" t="s">
        <v>93</v>
      </c>
      <c r="C12" s="8" t="s">
        <v>95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2.1">
      <c r="A13" s="9" t="s">
        <v>128</v>
      </c>
      <c r="B13" s="9" t="s">
        <v>129</v>
      </c>
      <c r="C13" s="18">
        <f>'Core Inputs'!B25/'Core Inputs'!B6</f>
        <v>4.1666666666666664E-2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32.1">
      <c r="A14" s="9" t="s">
        <v>130</v>
      </c>
      <c r="B14" s="9" t="s">
        <v>131</v>
      </c>
      <c r="C14" s="19">
        <f>C13*'Core Inputs'!B24</f>
        <v>416.66666666666663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2.1">
      <c r="A15" s="9" t="s">
        <v>132</v>
      </c>
      <c r="B15" s="9" t="s">
        <v>133</v>
      </c>
      <c r="C15" s="9" t="str">
        <f>IF(A6&gt;C13,"PASS","FAIL")</f>
        <v>PASS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3">
    <mergeCell ref="A1:H1"/>
    <mergeCell ref="A3:H3"/>
    <mergeCell ref="A11:H11"/>
  </mergeCells>
  <conditionalFormatting sqref="E5:E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0"/>
  <sheetViews>
    <sheetView workbookViewId="0">
      <selection sqref="A1:G1"/>
    </sheetView>
  </sheetViews>
  <sheetFormatPr defaultColWidth="8.875" defaultRowHeight="15"/>
  <cols>
    <col min="1" max="1" width="16" customWidth="1"/>
    <col min="2" max="2" width="46" customWidth="1"/>
    <col min="3" max="3" width="28" customWidth="1"/>
    <col min="4" max="4" width="30" customWidth="1"/>
    <col min="5" max="7" width="16" customWidth="1"/>
  </cols>
  <sheetData>
    <row r="1" spans="1:26" ht="37.35" customHeight="1">
      <c r="A1" s="51" t="s">
        <v>134</v>
      </c>
      <c r="B1" s="52"/>
      <c r="C1" s="52"/>
      <c r="D1" s="52"/>
      <c r="E1" s="52"/>
      <c r="F1" s="52"/>
      <c r="G1" s="52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135</v>
      </c>
      <c r="B3" s="52"/>
      <c r="C3" s="52"/>
      <c r="D3" s="52"/>
      <c r="E3" s="52"/>
      <c r="F3" s="52"/>
      <c r="G3" s="52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2.1">
      <c r="A4" s="8" t="s">
        <v>136</v>
      </c>
      <c r="B4" s="8" t="s">
        <v>137</v>
      </c>
      <c r="C4" s="8" t="s">
        <v>138</v>
      </c>
      <c r="D4" s="8" t="s">
        <v>139</v>
      </c>
      <c r="E4" s="8" t="s">
        <v>140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>
      <c r="A5" s="20">
        <v>0.1</v>
      </c>
      <c r="B5" s="16">
        <f>A5*'Core Inputs'!$B$6</f>
        <v>12</v>
      </c>
      <c r="C5" s="16">
        <f>B5</f>
        <v>12</v>
      </c>
      <c r="D5" s="16">
        <v>20</v>
      </c>
      <c r="E5" s="16">
        <f>C5-D5</f>
        <v>-8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>
      <c r="A6" s="20">
        <v>0.2</v>
      </c>
      <c r="B6" s="16">
        <f>A6*'Core Inputs'!$B$6</f>
        <v>24</v>
      </c>
      <c r="C6" s="16">
        <f>B6</f>
        <v>24</v>
      </c>
      <c r="D6" s="16">
        <v>20</v>
      </c>
      <c r="E6" s="16">
        <f>C6-D6</f>
        <v>4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>
      <c r="A7" s="20">
        <v>0.3</v>
      </c>
      <c r="B7" s="16">
        <f>A7*'Core Inputs'!$B$6</f>
        <v>36</v>
      </c>
      <c r="C7" s="16">
        <f>B7</f>
        <v>36</v>
      </c>
      <c r="D7" s="16">
        <v>20</v>
      </c>
      <c r="E7" s="16">
        <f>C7-D7</f>
        <v>16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20">
        <v>0.4</v>
      </c>
      <c r="B8" s="16">
        <f>A8*'Core Inputs'!$B$6</f>
        <v>48</v>
      </c>
      <c r="C8" s="16">
        <f>B8</f>
        <v>48</v>
      </c>
      <c r="D8" s="16">
        <v>20</v>
      </c>
      <c r="E8" s="16">
        <f>C8-D8</f>
        <v>28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20">
        <v>0.5</v>
      </c>
      <c r="B9" s="16">
        <f>A9*'Core Inputs'!$B$6</f>
        <v>60</v>
      </c>
      <c r="C9" s="16">
        <f>B9</f>
        <v>60</v>
      </c>
      <c r="D9" s="16">
        <v>20</v>
      </c>
      <c r="E9" s="16">
        <f>C9-D9</f>
        <v>40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7.95" customHeight="1">
      <c r="A11" s="53" t="s">
        <v>141</v>
      </c>
      <c r="B11" s="52"/>
      <c r="C11" s="52"/>
      <c r="D11" s="52"/>
      <c r="E11" s="52"/>
      <c r="F11" s="52"/>
      <c r="G11" s="52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95">
      <c r="A12" s="8" t="s">
        <v>142</v>
      </c>
      <c r="B12" s="8" t="s">
        <v>143</v>
      </c>
      <c r="C12" s="8" t="s">
        <v>144</v>
      </c>
      <c r="D12" s="8" t="s">
        <v>145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95">
      <c r="A13" s="13" t="s">
        <v>146</v>
      </c>
      <c r="B13" s="13" t="s">
        <v>147</v>
      </c>
      <c r="C13" s="13" t="s">
        <v>148</v>
      </c>
      <c r="D13" s="13" t="s">
        <v>149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32.1">
      <c r="A14" s="13" t="s">
        <v>150</v>
      </c>
      <c r="B14" s="13" t="s">
        <v>151</v>
      </c>
      <c r="C14" s="13" t="s">
        <v>152</v>
      </c>
      <c r="D14" s="13" t="s">
        <v>153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95">
      <c r="A15" s="13" t="s">
        <v>154</v>
      </c>
      <c r="B15" s="13" t="s">
        <v>155</v>
      </c>
      <c r="C15" s="13" t="s">
        <v>156</v>
      </c>
      <c r="D15" s="13" t="s">
        <v>157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32.1">
      <c r="A16" s="13" t="s">
        <v>158</v>
      </c>
      <c r="B16" s="13" t="s">
        <v>159</v>
      </c>
      <c r="C16" s="13" t="s">
        <v>160</v>
      </c>
      <c r="D16" s="13" t="s">
        <v>161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95">
      <c r="A17" s="13" t="s">
        <v>162</v>
      </c>
      <c r="B17" s="13" t="s">
        <v>163</v>
      </c>
      <c r="C17" s="13" t="s">
        <v>164</v>
      </c>
      <c r="D17" s="13" t="s">
        <v>165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3">
    <mergeCell ref="A1:G1"/>
    <mergeCell ref="A3:G3"/>
    <mergeCell ref="A11:G11"/>
  </mergeCells>
  <conditionalFormatting sqref="E5:E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0"/>
  <sheetViews>
    <sheetView workbookViewId="0">
      <selection sqref="A1:G1"/>
    </sheetView>
  </sheetViews>
  <sheetFormatPr defaultColWidth="8.875" defaultRowHeight="15"/>
  <cols>
    <col min="1" max="1" width="19" customWidth="1"/>
    <col min="2" max="2" width="35" customWidth="1"/>
    <col min="3" max="3" width="55" customWidth="1"/>
    <col min="4" max="4" width="15" customWidth="1"/>
    <col min="5" max="5" width="20" customWidth="1"/>
    <col min="6" max="7" width="15" customWidth="1"/>
  </cols>
  <sheetData>
    <row r="1" spans="1:26" ht="37.35" customHeight="1">
      <c r="A1" s="51" t="s">
        <v>166</v>
      </c>
      <c r="B1" s="52"/>
      <c r="C1" s="52"/>
      <c r="D1" s="52"/>
      <c r="E1" s="52"/>
      <c r="F1" s="52"/>
      <c r="G1" s="52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167</v>
      </c>
      <c r="B3" s="52"/>
      <c r="C3" s="52"/>
      <c r="D3" s="52"/>
      <c r="E3" s="52"/>
      <c r="F3" s="52"/>
      <c r="G3" s="52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2.1">
      <c r="A4" s="8" t="s">
        <v>168</v>
      </c>
      <c r="B4" s="8" t="s">
        <v>169</v>
      </c>
      <c r="C4" s="8" t="s">
        <v>110</v>
      </c>
      <c r="D4" s="8" t="s">
        <v>170</v>
      </c>
      <c r="E4" s="8" t="s">
        <v>171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>
      <c r="A5" s="18">
        <v>0.05</v>
      </c>
      <c r="B5" s="19">
        <f>A5*'Core Inputs'!$B$34</f>
        <v>50</v>
      </c>
      <c r="C5" s="16">
        <f>B5*'Core Inputs'!$B$6</f>
        <v>6000</v>
      </c>
      <c r="D5" s="16">
        <f>B5*'Core Inputs'!$B$33</f>
        <v>750</v>
      </c>
      <c r="E5" s="16">
        <f t="shared" ref="E5:E11" si="0">C5-D5</f>
        <v>5250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>
      <c r="A6" s="18">
        <v>0.1</v>
      </c>
      <c r="B6" s="19">
        <f>A6*'Core Inputs'!$B$34</f>
        <v>100</v>
      </c>
      <c r="C6" s="16">
        <f>B6*'Core Inputs'!$B$6</f>
        <v>12000</v>
      </c>
      <c r="D6" s="16">
        <f>B6*'Core Inputs'!$B$33</f>
        <v>1500</v>
      </c>
      <c r="E6" s="16">
        <f t="shared" si="0"/>
        <v>10500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>
      <c r="A7" s="18">
        <v>0.125</v>
      </c>
      <c r="B7" s="19">
        <f>A7*'Core Inputs'!$B$34</f>
        <v>125</v>
      </c>
      <c r="C7" s="16">
        <f>B7*'Core Inputs'!$B$6</f>
        <v>15000</v>
      </c>
      <c r="D7" s="16">
        <f>B7*'Core Inputs'!$B$33</f>
        <v>1875</v>
      </c>
      <c r="E7" s="16">
        <f t="shared" si="0"/>
        <v>13125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18">
        <v>0.2</v>
      </c>
      <c r="B8" s="19">
        <f>A8*'Core Inputs'!$B$34</f>
        <v>200</v>
      </c>
      <c r="C8" s="16">
        <f>B8*'Core Inputs'!$B$6</f>
        <v>24000</v>
      </c>
      <c r="D8" s="16">
        <f>B8*'Core Inputs'!$B$33</f>
        <v>3000</v>
      </c>
      <c r="E8" s="16">
        <f t="shared" si="0"/>
        <v>21000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18">
        <v>0.3</v>
      </c>
      <c r="B9" s="19">
        <f>A9*'Core Inputs'!$B$34</f>
        <v>300</v>
      </c>
      <c r="C9" s="16">
        <f>B9*'Core Inputs'!$B$6</f>
        <v>36000</v>
      </c>
      <c r="D9" s="16">
        <f>B9*'Core Inputs'!$B$33</f>
        <v>4500</v>
      </c>
      <c r="E9" s="16">
        <f t="shared" si="0"/>
        <v>31500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18">
        <v>0.4</v>
      </c>
      <c r="B10" s="19">
        <f>A10*'Core Inputs'!$B$34</f>
        <v>400</v>
      </c>
      <c r="C10" s="16">
        <f>B10*'Core Inputs'!$B$6</f>
        <v>48000</v>
      </c>
      <c r="D10" s="16">
        <f>B10*'Core Inputs'!$B$33</f>
        <v>6000</v>
      </c>
      <c r="E10" s="16">
        <f t="shared" si="0"/>
        <v>42000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95">
      <c r="A11" s="22" t="s">
        <v>172</v>
      </c>
      <c r="B11" s="23">
        <f>'Core Inputs'!B33/'Core Inputs'!B6*'Core Inputs'!B34</f>
        <v>125</v>
      </c>
      <c r="C11" s="28">
        <f>B11*'Core Inputs'!B6</f>
        <v>15000</v>
      </c>
      <c r="D11" s="28">
        <f>B11*'Core Inputs'!B33</f>
        <v>1875</v>
      </c>
      <c r="E11" s="28">
        <f t="shared" si="0"/>
        <v>13125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27.95" customHeight="1">
      <c r="A13" s="53" t="s">
        <v>173</v>
      </c>
      <c r="B13" s="52"/>
      <c r="C13" s="52"/>
      <c r="D13" s="52"/>
      <c r="E13" s="52"/>
      <c r="F13" s="52"/>
      <c r="G13" s="52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95">
      <c r="A14" s="8" t="s">
        <v>142</v>
      </c>
      <c r="B14" s="8" t="s">
        <v>93</v>
      </c>
      <c r="C14" s="8" t="s">
        <v>106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2.1">
      <c r="A15" s="13" t="s">
        <v>174</v>
      </c>
      <c r="B15" s="13" t="s">
        <v>175</v>
      </c>
      <c r="C15" s="13" t="s">
        <v>176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32.1">
      <c r="A16" s="13" t="s">
        <v>177</v>
      </c>
      <c r="B16" s="13" t="s">
        <v>178</v>
      </c>
      <c r="C16" s="13" t="s">
        <v>179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3">
    <mergeCell ref="A1:G1"/>
    <mergeCell ref="A3:G3"/>
    <mergeCell ref="A13:G13"/>
  </mergeCells>
  <conditionalFormatting sqref="E5:E11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0"/>
  <sheetViews>
    <sheetView workbookViewId="0">
      <selection sqref="A1:G1"/>
    </sheetView>
  </sheetViews>
  <sheetFormatPr defaultColWidth="8.875" defaultRowHeight="15"/>
  <sheetData>
    <row r="1" spans="1:26" ht="37.35" customHeight="1">
      <c r="A1" s="51" t="s">
        <v>180</v>
      </c>
      <c r="B1" s="52"/>
      <c r="C1" s="52"/>
      <c r="D1" s="52"/>
      <c r="E1" s="52"/>
      <c r="F1" s="52"/>
      <c r="G1" s="52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181</v>
      </c>
      <c r="B3" s="52"/>
      <c r="C3" s="52"/>
      <c r="D3" s="52"/>
      <c r="E3" s="52"/>
      <c r="F3" s="52"/>
      <c r="G3" s="52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2.1">
      <c r="A4" s="8" t="s">
        <v>26</v>
      </c>
      <c r="B4" s="8" t="s">
        <v>182</v>
      </c>
      <c r="C4" s="8" t="s">
        <v>28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63.95">
      <c r="A5" s="9" t="s">
        <v>183</v>
      </c>
      <c r="B5" s="16">
        <v>280</v>
      </c>
      <c r="C5" s="9" t="s">
        <v>73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48">
      <c r="A6" s="9" t="s">
        <v>184</v>
      </c>
      <c r="B6" s="16">
        <v>65</v>
      </c>
      <c r="C6" s="9" t="s">
        <v>185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48">
      <c r="A7" s="9" t="s">
        <v>186</v>
      </c>
      <c r="B7" s="16">
        <v>30</v>
      </c>
      <c r="C7" s="9" t="s">
        <v>185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32.1">
      <c r="A8" s="9" t="s">
        <v>187</v>
      </c>
      <c r="B8" s="16">
        <v>15</v>
      </c>
      <c r="C8" s="9" t="s">
        <v>185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48">
      <c r="A9" s="9" t="s">
        <v>188</v>
      </c>
      <c r="B9" s="16">
        <v>5</v>
      </c>
      <c r="C9" s="9" t="s">
        <v>185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63.95">
      <c r="A10" s="9" t="s">
        <v>189</v>
      </c>
      <c r="B10" s="16">
        <v>12</v>
      </c>
      <c r="C10" s="9" t="s">
        <v>185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48">
      <c r="A11" s="9" t="s">
        <v>190</v>
      </c>
      <c r="B11" s="16">
        <f>'Core Inputs'!B6</f>
        <v>120</v>
      </c>
      <c r="C11" s="9" t="s">
        <v>191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48">
      <c r="A12" s="9" t="s">
        <v>192</v>
      </c>
      <c r="B12" s="29">
        <f>B5-B6-B7-B8-B9-B10+B11</f>
        <v>273</v>
      </c>
      <c r="C12" s="9" t="s">
        <v>193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27.95" customHeight="1">
      <c r="A14" s="53" t="s">
        <v>194</v>
      </c>
      <c r="B14" s="52"/>
      <c r="C14" s="52"/>
      <c r="D14" s="52"/>
      <c r="E14" s="52"/>
      <c r="F14" s="52"/>
      <c r="G14" s="52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2.1">
      <c r="A15" s="8" t="s">
        <v>195</v>
      </c>
      <c r="B15" s="8" t="s">
        <v>93</v>
      </c>
      <c r="C15" s="8" t="s">
        <v>106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48">
      <c r="A16" s="13" t="s">
        <v>196</v>
      </c>
      <c r="B16" s="13" t="s">
        <v>197</v>
      </c>
      <c r="C16" s="13" t="s">
        <v>198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63.95">
      <c r="A17" s="13" t="s">
        <v>199</v>
      </c>
      <c r="B17" s="13" t="s">
        <v>200</v>
      </c>
      <c r="C17" s="13" t="s">
        <v>201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11.95">
      <c r="A18" s="13" t="s">
        <v>202</v>
      </c>
      <c r="B18" s="13" t="s">
        <v>203</v>
      </c>
      <c r="C18" s="13" t="s">
        <v>204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3">
    <mergeCell ref="A1:G1"/>
    <mergeCell ref="A3:G3"/>
    <mergeCell ref="A14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60"/>
  <sheetViews>
    <sheetView workbookViewId="0">
      <selection sqref="A1:H1"/>
    </sheetView>
  </sheetViews>
  <sheetFormatPr defaultColWidth="8.875" defaultRowHeight="15"/>
  <cols>
    <col min="1" max="1" width="18" customWidth="1"/>
    <col min="2" max="2" width="65" customWidth="1"/>
    <col min="3" max="3" width="28" customWidth="1"/>
    <col min="4" max="8" width="14" customWidth="1"/>
  </cols>
  <sheetData>
    <row r="1" spans="1:26" ht="37.35" customHeight="1">
      <c r="A1" s="51" t="s">
        <v>205</v>
      </c>
      <c r="B1" s="52"/>
      <c r="C1" s="52"/>
      <c r="D1" s="52"/>
      <c r="E1" s="52"/>
      <c r="F1" s="52"/>
      <c r="G1" s="52"/>
      <c r="H1" s="52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.95" customHeight="1">
      <c r="A3" s="53" t="s">
        <v>206</v>
      </c>
      <c r="B3" s="52"/>
      <c r="C3" s="52"/>
      <c r="D3" s="52"/>
      <c r="E3" s="52"/>
      <c r="F3" s="52"/>
      <c r="G3" s="52"/>
      <c r="H3" s="52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95">
      <c r="A4" s="8" t="s">
        <v>207</v>
      </c>
      <c r="B4" s="8" t="s">
        <v>208</v>
      </c>
      <c r="C4" s="8" t="s">
        <v>209</v>
      </c>
      <c r="D4" s="8" t="s">
        <v>210</v>
      </c>
      <c r="E4" s="8" t="s">
        <v>211</v>
      </c>
      <c r="F4" s="8" t="s">
        <v>96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63.95">
      <c r="A5" s="24" t="s">
        <v>212</v>
      </c>
      <c r="B5" s="13" t="s">
        <v>213</v>
      </c>
      <c r="C5" s="13" t="s">
        <v>214</v>
      </c>
      <c r="D5" s="13" t="s">
        <v>215</v>
      </c>
      <c r="E5" s="13" t="s">
        <v>216</v>
      </c>
      <c r="F5" s="13" t="s">
        <v>217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96">
      <c r="A6" s="24" t="s">
        <v>218</v>
      </c>
      <c r="B6" s="13" t="s">
        <v>219</v>
      </c>
      <c r="C6" s="13" t="s">
        <v>220</v>
      </c>
      <c r="D6" s="13" t="s">
        <v>221</v>
      </c>
      <c r="E6" s="13" t="s">
        <v>222</v>
      </c>
      <c r="F6" s="13" t="s">
        <v>223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48">
      <c r="A7" s="24" t="s">
        <v>224</v>
      </c>
      <c r="B7" s="13" t="s">
        <v>225</v>
      </c>
      <c r="C7" s="13" t="s">
        <v>226</v>
      </c>
      <c r="D7" s="13" t="s">
        <v>227</v>
      </c>
      <c r="E7" s="13" t="s">
        <v>228</v>
      </c>
      <c r="F7" s="13" t="s">
        <v>229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95">
      <c r="A8" s="21" t="s">
        <v>230</v>
      </c>
      <c r="B8" s="21"/>
      <c r="C8" s="21" t="s">
        <v>231</v>
      </c>
      <c r="D8" s="21"/>
      <c r="E8" s="21"/>
      <c r="F8" s="21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7.95" customHeight="1">
      <c r="A10" s="53" t="s">
        <v>232</v>
      </c>
      <c r="B10" s="52"/>
      <c r="C10" s="52"/>
      <c r="D10" s="52"/>
      <c r="E10" s="52"/>
      <c r="F10" s="52"/>
      <c r="G10" s="52"/>
      <c r="H10" s="52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95">
      <c r="A11" s="8" t="s">
        <v>233</v>
      </c>
      <c r="B11" s="8" t="s">
        <v>234</v>
      </c>
      <c r="C11" s="8" t="s">
        <v>92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95">
      <c r="A12" s="9" t="s">
        <v>235</v>
      </c>
      <c r="B12" s="9" t="s">
        <v>236</v>
      </c>
      <c r="C12" s="9" t="s">
        <v>237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95">
      <c r="A13" s="9" t="s">
        <v>238</v>
      </c>
      <c r="B13" s="9" t="s">
        <v>239</v>
      </c>
      <c r="C13" s="9" t="s">
        <v>240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95">
      <c r="A14" s="9" t="s">
        <v>241</v>
      </c>
      <c r="B14" s="9" t="s">
        <v>242</v>
      </c>
      <c r="C14" s="9" t="s">
        <v>243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95">
      <c r="A15" s="9" t="s">
        <v>244</v>
      </c>
      <c r="B15" s="9" t="s">
        <v>245</v>
      </c>
      <c r="C15" s="9" t="s">
        <v>246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95">
      <c r="A16" s="9" t="s">
        <v>247</v>
      </c>
      <c r="B16" s="9" t="s">
        <v>248</v>
      </c>
      <c r="C16" s="9" t="s">
        <v>249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95">
      <c r="A17" s="9" t="s">
        <v>250</v>
      </c>
      <c r="B17" s="9" t="s">
        <v>251</v>
      </c>
      <c r="C17" s="9" t="s">
        <v>252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95">
      <c r="A18" s="9" t="s">
        <v>253</v>
      </c>
      <c r="B18" s="9" t="s">
        <v>254</v>
      </c>
      <c r="C18" s="9" t="s">
        <v>255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3">
    <mergeCell ref="A1:H1"/>
    <mergeCell ref="A3:H3"/>
    <mergeCell ref="A10:H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60"/>
  <sheetViews>
    <sheetView workbookViewId="0">
      <selection sqref="A1:E1"/>
    </sheetView>
  </sheetViews>
  <sheetFormatPr defaultColWidth="8.875" defaultRowHeight="15"/>
  <cols>
    <col min="1" max="1" width="26" customWidth="1"/>
    <col min="2" max="2" width="52" customWidth="1"/>
    <col min="3" max="3" width="74" customWidth="1"/>
    <col min="4" max="4" width="28" customWidth="1"/>
    <col min="5" max="5" width="22" customWidth="1"/>
  </cols>
  <sheetData>
    <row r="1" spans="1:26" ht="37.35" customHeight="1">
      <c r="A1" s="51" t="s">
        <v>256</v>
      </c>
      <c r="B1" s="52"/>
      <c r="C1" s="52"/>
      <c r="D1" s="52"/>
      <c r="E1" s="52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95">
      <c r="A3" s="8" t="s">
        <v>257</v>
      </c>
      <c r="B3" s="8" t="s">
        <v>93</v>
      </c>
      <c r="C3" s="8" t="s">
        <v>258</v>
      </c>
      <c r="D3" s="8" t="s">
        <v>259</v>
      </c>
      <c r="E3" s="8" t="s">
        <v>260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95">
      <c r="A4" s="13" t="s">
        <v>261</v>
      </c>
      <c r="B4" s="13" t="s">
        <v>262</v>
      </c>
      <c r="C4" s="13" t="s">
        <v>263</v>
      </c>
      <c r="D4" s="13" t="s">
        <v>264</v>
      </c>
      <c r="E4" s="13" t="s">
        <v>265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95">
      <c r="A5" s="13" t="s">
        <v>266</v>
      </c>
      <c r="B5" s="13" t="s">
        <v>267</v>
      </c>
      <c r="C5" s="13" t="s">
        <v>268</v>
      </c>
      <c r="D5" s="13" t="s">
        <v>269</v>
      </c>
      <c r="E5" s="13" t="s">
        <v>270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95">
      <c r="A6" s="13" t="s">
        <v>271</v>
      </c>
      <c r="B6" s="13" t="s">
        <v>272</v>
      </c>
      <c r="C6" s="13" t="s">
        <v>273</v>
      </c>
      <c r="D6" s="13" t="s">
        <v>274</v>
      </c>
      <c r="E6" s="13" t="s">
        <v>270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2.1">
      <c r="A7" s="13" t="s">
        <v>128</v>
      </c>
      <c r="B7" s="13" t="s">
        <v>275</v>
      </c>
      <c r="C7" s="13" t="s">
        <v>276</v>
      </c>
      <c r="D7" s="13" t="s">
        <v>277</v>
      </c>
      <c r="E7" s="13" t="s">
        <v>270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95">
      <c r="A8" s="13" t="s">
        <v>278</v>
      </c>
      <c r="B8" s="13" t="s">
        <v>279</v>
      </c>
      <c r="C8" s="13" t="s">
        <v>280</v>
      </c>
      <c r="D8" s="13" t="s">
        <v>281</v>
      </c>
      <c r="E8" s="13" t="s">
        <v>282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95">
      <c r="A9" s="13" t="s">
        <v>283</v>
      </c>
      <c r="B9" s="13" t="s">
        <v>284</v>
      </c>
      <c r="C9" s="13" t="s">
        <v>285</v>
      </c>
      <c r="D9" s="13" t="s">
        <v>286</v>
      </c>
      <c r="E9" s="13" t="s">
        <v>287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32.1">
      <c r="A10" s="13" t="s">
        <v>192</v>
      </c>
      <c r="B10" s="13" t="s">
        <v>288</v>
      </c>
      <c r="C10" s="13" t="s">
        <v>289</v>
      </c>
      <c r="D10" s="13" t="s">
        <v>290</v>
      </c>
      <c r="E10" s="13" t="s">
        <v>290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32.1">
      <c r="A11" s="13" t="s">
        <v>291</v>
      </c>
      <c r="B11" s="13" t="s">
        <v>292</v>
      </c>
      <c r="C11" s="13" t="s">
        <v>293</v>
      </c>
      <c r="D11" s="13" t="s">
        <v>294</v>
      </c>
      <c r="E11" s="13" t="s">
        <v>295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60"/>
  <sheetViews>
    <sheetView workbookViewId="0"/>
  </sheetViews>
  <sheetFormatPr defaultColWidth="8.875" defaultRowHeight="15"/>
  <cols>
    <col min="1" max="1" width="36" customWidth="1"/>
    <col min="2" max="2" width="44" customWidth="1"/>
    <col min="3" max="3" width="82" customWidth="1"/>
    <col min="4" max="4" width="28" customWidth="1"/>
  </cols>
  <sheetData>
    <row r="1" spans="1:26" ht="37.35" customHeight="1">
      <c r="A1" s="51" t="s">
        <v>296</v>
      </c>
      <c r="B1" s="52"/>
      <c r="C1" s="52"/>
      <c r="D1" s="52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95">
      <c r="A3" s="8" t="s">
        <v>297</v>
      </c>
      <c r="B3" s="8" t="s">
        <v>298</v>
      </c>
      <c r="C3" s="8" t="s">
        <v>299</v>
      </c>
      <c r="D3" s="8" t="s">
        <v>300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2.1">
      <c r="A4" s="9" t="s">
        <v>301</v>
      </c>
      <c r="B4" s="9" t="s">
        <v>302</v>
      </c>
      <c r="C4" s="9" t="s">
        <v>303</v>
      </c>
      <c r="D4" s="9" t="s">
        <v>304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2.1">
      <c r="A5" s="9" t="s">
        <v>305</v>
      </c>
      <c r="B5" s="9" t="s">
        <v>306</v>
      </c>
      <c r="C5" s="9" t="s">
        <v>307</v>
      </c>
      <c r="D5" s="9" t="s">
        <v>308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2.1">
      <c r="A6" s="9" t="s">
        <v>25</v>
      </c>
      <c r="B6" s="9" t="s">
        <v>309</v>
      </c>
      <c r="C6" s="9" t="s">
        <v>310</v>
      </c>
      <c r="D6" s="9" t="s">
        <v>311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2.1">
      <c r="A7" s="9" t="s">
        <v>312</v>
      </c>
      <c r="B7" s="9" t="s">
        <v>313</v>
      </c>
      <c r="C7" s="9" t="s">
        <v>314</v>
      </c>
      <c r="D7" s="9" t="s">
        <v>315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95">
      <c r="A8" s="9" t="s">
        <v>316</v>
      </c>
      <c r="B8" s="9" t="s">
        <v>317</v>
      </c>
      <c r="C8" s="9" t="s">
        <v>318</v>
      </c>
      <c r="D8" s="9" t="s">
        <v>319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2"/>
  <sheetViews>
    <sheetView workbookViewId="0"/>
  </sheetViews>
  <sheetFormatPr defaultColWidth="8.875" defaultRowHeight="15"/>
  <cols>
    <col min="1" max="1" width="22" customWidth="1"/>
    <col min="2" max="2" width="15" customWidth="1"/>
    <col min="3" max="4" width="19" customWidth="1"/>
    <col min="5" max="6" width="18" customWidth="1"/>
    <col min="7" max="7" width="20" customWidth="1"/>
    <col min="8" max="8" width="17" customWidth="1"/>
    <col min="9" max="9" width="24" customWidth="1"/>
    <col min="10" max="12" width="15" customWidth="1"/>
    <col min="13" max="14" width="17" customWidth="1"/>
  </cols>
  <sheetData>
    <row r="1" spans="1:14" ht="37.35" customHeight="1">
      <c r="A1" s="67" t="s">
        <v>320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37.35" customHeight="1">
      <c r="A2" s="69" t="s">
        <v>321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>
      <c r="A3" s="71" t="s">
        <v>322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>
      <c r="A4" s="1"/>
    </row>
    <row r="5" spans="1:14" ht="37.35" customHeight="1">
      <c r="A5" s="72" t="s">
        <v>323</v>
      </c>
      <c r="B5" s="77"/>
      <c r="C5" s="77"/>
      <c r="D5" s="77"/>
      <c r="E5" s="73" t="s">
        <v>324</v>
      </c>
      <c r="F5" s="77"/>
      <c r="G5" s="77"/>
      <c r="H5" s="77"/>
      <c r="I5" s="73" t="s">
        <v>325</v>
      </c>
      <c r="J5" s="77"/>
      <c r="K5" s="77"/>
      <c r="L5" s="77"/>
      <c r="M5" s="73" t="s">
        <v>326</v>
      </c>
      <c r="N5" s="77"/>
    </row>
    <row r="6" spans="1:14" ht="48">
      <c r="A6" s="32" t="s">
        <v>262</v>
      </c>
      <c r="B6" s="31" t="s">
        <v>327</v>
      </c>
      <c r="C6" s="31"/>
      <c r="D6" s="31"/>
      <c r="E6" s="33" t="s">
        <v>328</v>
      </c>
      <c r="F6" s="30" t="s">
        <v>329</v>
      </c>
      <c r="G6" s="30"/>
      <c r="H6" s="30"/>
      <c r="I6" s="34" t="s">
        <v>330</v>
      </c>
      <c r="J6" s="30" t="s">
        <v>99</v>
      </c>
      <c r="K6" s="30"/>
      <c r="L6" s="30"/>
      <c r="M6" s="35" t="s">
        <v>331</v>
      </c>
      <c r="N6" s="30" t="s">
        <v>332</v>
      </c>
    </row>
    <row r="7" spans="1:14" ht="48">
      <c r="A7" s="32" t="s">
        <v>333</v>
      </c>
      <c r="B7" s="31" t="s">
        <v>334</v>
      </c>
      <c r="C7" s="31"/>
      <c r="D7" s="31"/>
      <c r="E7" s="33" t="s">
        <v>335</v>
      </c>
      <c r="F7" s="30" t="s">
        <v>336</v>
      </c>
      <c r="G7" s="30"/>
      <c r="H7" s="30"/>
      <c r="I7" s="34" t="s">
        <v>337</v>
      </c>
      <c r="J7" s="30" t="s">
        <v>338</v>
      </c>
      <c r="K7" s="30"/>
      <c r="L7" s="30"/>
      <c r="M7" s="35" t="s">
        <v>262</v>
      </c>
      <c r="N7" s="30" t="s">
        <v>110</v>
      </c>
    </row>
    <row r="8" spans="1:14">
      <c r="A8" s="1"/>
    </row>
    <row r="9" spans="1:14" ht="37.35" customHeight="1">
      <c r="A9" s="60" t="s">
        <v>339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spans="1:14" ht="27.95">
      <c r="A10" s="36" t="s">
        <v>340</v>
      </c>
      <c r="B10" s="36" t="s">
        <v>341</v>
      </c>
      <c r="C10" s="36" t="s">
        <v>342</v>
      </c>
      <c r="D10" s="36" t="s">
        <v>343</v>
      </c>
      <c r="E10" s="36" t="s">
        <v>344</v>
      </c>
      <c r="F10" s="36" t="s">
        <v>345</v>
      </c>
      <c r="G10" s="36" t="s">
        <v>346</v>
      </c>
      <c r="H10" s="36" t="s">
        <v>347</v>
      </c>
    </row>
    <row r="11" spans="1:14" ht="42">
      <c r="A11" s="30" t="s">
        <v>348</v>
      </c>
      <c r="B11" s="30" t="s">
        <v>349</v>
      </c>
      <c r="C11" s="30" t="s">
        <v>350</v>
      </c>
      <c r="D11" s="30" t="s">
        <v>351</v>
      </c>
      <c r="E11" s="30" t="s">
        <v>352</v>
      </c>
      <c r="F11" s="30" t="s">
        <v>353</v>
      </c>
      <c r="G11" s="30" t="s">
        <v>354</v>
      </c>
      <c r="H11" s="30" t="s">
        <v>355</v>
      </c>
    </row>
    <row r="12" spans="1:14" ht="42">
      <c r="A12" s="30" t="s">
        <v>356</v>
      </c>
      <c r="B12" s="30" t="s">
        <v>357</v>
      </c>
      <c r="C12" s="30" t="s">
        <v>358</v>
      </c>
      <c r="D12" s="30" t="s">
        <v>359</v>
      </c>
      <c r="E12" s="30" t="s">
        <v>236</v>
      </c>
      <c r="F12" s="30" t="s">
        <v>360</v>
      </c>
      <c r="G12" s="30" t="s">
        <v>361</v>
      </c>
      <c r="H12" s="30" t="s">
        <v>362</v>
      </c>
    </row>
    <row r="13" spans="1:14" ht="42">
      <c r="A13" s="30" t="s">
        <v>363</v>
      </c>
      <c r="B13" s="30" t="s">
        <v>364</v>
      </c>
      <c r="C13" s="30" t="s">
        <v>365</v>
      </c>
      <c r="D13" s="30" t="s">
        <v>366</v>
      </c>
      <c r="E13" s="30" t="s">
        <v>367</v>
      </c>
      <c r="F13" s="30" t="s">
        <v>368</v>
      </c>
      <c r="G13" s="30" t="s">
        <v>369</v>
      </c>
      <c r="H13" s="30" t="s">
        <v>370</v>
      </c>
    </row>
    <row r="14" spans="1:14">
      <c r="A14" s="1"/>
    </row>
    <row r="15" spans="1:14" ht="37.35" customHeight="1">
      <c r="A15" s="66" t="s">
        <v>371</v>
      </c>
      <c r="B15" s="62"/>
      <c r="C15" s="62"/>
      <c r="D15" s="62"/>
      <c r="E15" s="62"/>
      <c r="F15" s="62"/>
      <c r="G15" s="62"/>
      <c r="H15" s="62"/>
      <c r="I15" s="61" t="s">
        <v>372</v>
      </c>
      <c r="J15" s="61"/>
      <c r="K15" s="61"/>
      <c r="L15" s="61"/>
      <c r="M15" s="61"/>
      <c r="N15" s="61"/>
    </row>
    <row r="16" spans="1:14" ht="27.95">
      <c r="A16" s="36" t="s">
        <v>43</v>
      </c>
      <c r="B16" s="36" t="s">
        <v>44</v>
      </c>
      <c r="C16" s="36" t="s">
        <v>373</v>
      </c>
      <c r="D16" s="36" t="s">
        <v>81</v>
      </c>
      <c r="E16" s="36" t="s">
        <v>374</v>
      </c>
      <c r="F16" s="36" t="s">
        <v>375</v>
      </c>
      <c r="G16" s="36" t="s">
        <v>45</v>
      </c>
      <c r="H16" s="36" t="s">
        <v>96</v>
      </c>
      <c r="I16" s="36" t="s">
        <v>92</v>
      </c>
      <c r="J16" s="36" t="s">
        <v>376</v>
      </c>
      <c r="K16" s="36" t="s">
        <v>95</v>
      </c>
      <c r="L16" s="36"/>
      <c r="M16" s="36"/>
      <c r="N16" s="36"/>
    </row>
    <row r="17" spans="1:14">
      <c r="A17" s="30" t="s">
        <v>46</v>
      </c>
      <c r="B17" s="39">
        <f>'Core Inputs'!B15</f>
        <v>2</v>
      </c>
      <c r="C17" s="38">
        <f>170</f>
        <v>170</v>
      </c>
      <c r="D17" s="37">
        <f t="shared" ref="D17:D22" si="0">B17/C17</f>
        <v>1.1764705882352941E-2</v>
      </c>
      <c r="E17" s="38">
        <f t="shared" ref="E17:E22" si="1">0.1*C17-B17</f>
        <v>15</v>
      </c>
      <c r="F17" s="38">
        <f t="shared" ref="F17:F22" si="2">E17*100</f>
        <v>1500</v>
      </c>
      <c r="G17" s="30" t="s">
        <v>377</v>
      </c>
      <c r="H17" s="30" t="s">
        <v>378</v>
      </c>
      <c r="I17" s="30" t="s">
        <v>379</v>
      </c>
      <c r="J17" s="30">
        <v>10000</v>
      </c>
      <c r="K17" s="41">
        <f>'Core Inputs'!B24</f>
        <v>10000</v>
      </c>
      <c r="L17" s="30" t="s">
        <v>61</v>
      </c>
      <c r="M17" s="30"/>
      <c r="N17" s="30"/>
    </row>
    <row r="18" spans="1:14">
      <c r="A18" s="30" t="s">
        <v>48</v>
      </c>
      <c r="B18" s="39">
        <f>'Core Inputs'!B16</f>
        <v>5</v>
      </c>
      <c r="C18" s="38">
        <f>170</f>
        <v>170</v>
      </c>
      <c r="D18" s="37">
        <f t="shared" si="0"/>
        <v>2.9411764705882353E-2</v>
      </c>
      <c r="E18" s="38">
        <f t="shared" si="1"/>
        <v>12</v>
      </c>
      <c r="F18" s="38">
        <f t="shared" si="2"/>
        <v>1200</v>
      </c>
      <c r="G18" s="30" t="s">
        <v>377</v>
      </c>
      <c r="H18" s="30" t="s">
        <v>378</v>
      </c>
      <c r="I18" s="30" t="s">
        <v>380</v>
      </c>
      <c r="J18" s="30">
        <v>5</v>
      </c>
      <c r="K18" s="39">
        <f>'Core Inputs'!B25</f>
        <v>5</v>
      </c>
      <c r="L18" s="30" t="s">
        <v>63</v>
      </c>
      <c r="M18" s="30"/>
      <c r="N18" s="30"/>
    </row>
    <row r="19" spans="1:14">
      <c r="A19" s="30" t="s">
        <v>50</v>
      </c>
      <c r="B19" s="39">
        <f>'Core Inputs'!B17</f>
        <v>10</v>
      </c>
      <c r="C19" s="38">
        <f>170</f>
        <v>170</v>
      </c>
      <c r="D19" s="37">
        <f t="shared" si="0"/>
        <v>5.8823529411764705E-2</v>
      </c>
      <c r="E19" s="38">
        <f t="shared" si="1"/>
        <v>7</v>
      </c>
      <c r="F19" s="38">
        <f t="shared" si="2"/>
        <v>700</v>
      </c>
      <c r="G19" s="30" t="s">
        <v>377</v>
      </c>
      <c r="H19" s="30" t="s">
        <v>378</v>
      </c>
      <c r="I19" s="30" t="s">
        <v>381</v>
      </c>
      <c r="J19" s="30">
        <v>0.06</v>
      </c>
      <c r="K19" s="40">
        <f>'Core Inputs'!B27</f>
        <v>0.06</v>
      </c>
      <c r="L19" s="30" t="s">
        <v>41</v>
      </c>
      <c r="M19" s="30"/>
      <c r="N19" s="30"/>
    </row>
    <row r="20" spans="1:14" ht="27.95">
      <c r="A20" s="30" t="s">
        <v>54</v>
      </c>
      <c r="B20" s="39">
        <f>'Core Inputs'!B19</f>
        <v>20</v>
      </c>
      <c r="C20" s="38">
        <f>120</f>
        <v>120</v>
      </c>
      <c r="D20" s="37">
        <f t="shared" si="0"/>
        <v>0.16666666666666666</v>
      </c>
      <c r="E20" s="38">
        <f t="shared" si="1"/>
        <v>-8</v>
      </c>
      <c r="F20" s="38">
        <f t="shared" si="2"/>
        <v>-800</v>
      </c>
      <c r="G20" s="30" t="s">
        <v>382</v>
      </c>
      <c r="H20" s="30" t="s">
        <v>383</v>
      </c>
      <c r="I20" s="30" t="s">
        <v>64</v>
      </c>
      <c r="J20" s="30"/>
      <c r="K20" s="42">
        <f>K17*K19</f>
        <v>600</v>
      </c>
      <c r="L20" s="30" t="s">
        <v>61</v>
      </c>
      <c r="M20" s="30"/>
      <c r="N20" s="30"/>
    </row>
    <row r="21" spans="1:14" ht="27.95">
      <c r="A21" s="30" t="s">
        <v>56</v>
      </c>
      <c r="B21" s="39">
        <f>'Core Inputs'!B20</f>
        <v>30</v>
      </c>
      <c r="C21" s="38">
        <f>120</f>
        <v>120</v>
      </c>
      <c r="D21" s="37">
        <f t="shared" si="0"/>
        <v>0.25</v>
      </c>
      <c r="E21" s="38">
        <f t="shared" si="1"/>
        <v>-18</v>
      </c>
      <c r="F21" s="38">
        <f t="shared" si="2"/>
        <v>-1800</v>
      </c>
      <c r="G21" s="30" t="s">
        <v>382</v>
      </c>
      <c r="H21" s="30" t="s">
        <v>384</v>
      </c>
      <c r="I21" s="30" t="s">
        <v>67</v>
      </c>
      <c r="J21" s="30"/>
      <c r="K21" s="38">
        <f>K17*K18</f>
        <v>50000</v>
      </c>
      <c r="L21" s="30" t="s">
        <v>68</v>
      </c>
      <c r="M21" s="30"/>
      <c r="N21" s="30"/>
    </row>
    <row r="22" spans="1:14" ht="42">
      <c r="A22" s="30" t="s">
        <v>385</v>
      </c>
      <c r="B22" s="39">
        <f>'Solution 3 Econ'!B7</f>
        <v>30</v>
      </c>
      <c r="C22" s="38">
        <f>120</f>
        <v>120</v>
      </c>
      <c r="D22" s="37">
        <f t="shared" si="0"/>
        <v>0.25</v>
      </c>
      <c r="E22" s="38">
        <f t="shared" si="1"/>
        <v>-18</v>
      </c>
      <c r="F22" s="38">
        <f t="shared" si="2"/>
        <v>-1800</v>
      </c>
      <c r="G22" s="30" t="s">
        <v>386</v>
      </c>
      <c r="H22" s="30" t="s">
        <v>387</v>
      </c>
      <c r="I22" s="30" t="s">
        <v>110</v>
      </c>
      <c r="J22" s="30"/>
      <c r="K22" s="38">
        <f>K20*'Core Inputs'!B6</f>
        <v>72000</v>
      </c>
      <c r="L22" s="30" t="s">
        <v>68</v>
      </c>
      <c r="M22" s="30"/>
      <c r="N22" s="30"/>
    </row>
    <row r="23" spans="1:14">
      <c r="A23" s="1"/>
      <c r="I23" s="30" t="s">
        <v>101</v>
      </c>
      <c r="J23" s="30"/>
      <c r="K23" s="38">
        <f>K22-K21</f>
        <v>22000</v>
      </c>
      <c r="L23" s="30" t="s">
        <v>68</v>
      </c>
      <c r="M23" s="30"/>
      <c r="N23" s="30"/>
    </row>
    <row r="24" spans="1:14">
      <c r="A24" s="1"/>
      <c r="I24" s="30" t="s">
        <v>99</v>
      </c>
      <c r="J24" s="30"/>
      <c r="K24" s="50">
        <f>K21/K20</f>
        <v>83.333333333333329</v>
      </c>
      <c r="L24" s="30" t="s">
        <v>388</v>
      </c>
      <c r="M24" s="30" t="s">
        <v>389</v>
      </c>
      <c r="N24" s="30"/>
    </row>
    <row r="25" spans="1:14">
      <c r="A25" s="1"/>
    </row>
    <row r="26" spans="1:14" ht="37.35" customHeight="1">
      <c r="A26" s="66" t="s">
        <v>390</v>
      </c>
      <c r="B26" s="62"/>
      <c r="C26" s="62"/>
      <c r="D26" s="62"/>
      <c r="E26" s="62"/>
      <c r="F26" s="62"/>
      <c r="G26" s="62"/>
      <c r="H26" s="62"/>
      <c r="I26" s="61" t="s">
        <v>391</v>
      </c>
      <c r="J26" s="61"/>
      <c r="K26" s="61"/>
      <c r="L26" s="61"/>
      <c r="M26" s="61"/>
      <c r="N26" s="61"/>
    </row>
    <row r="27" spans="1:14">
      <c r="A27" s="36" t="s">
        <v>207</v>
      </c>
      <c r="B27" s="36" t="s">
        <v>208</v>
      </c>
      <c r="C27" s="36" t="s">
        <v>209</v>
      </c>
      <c r="D27" s="36" t="s">
        <v>210</v>
      </c>
      <c r="E27" s="36" t="s">
        <v>211</v>
      </c>
      <c r="F27" s="36" t="s">
        <v>96</v>
      </c>
      <c r="G27" s="36" t="s">
        <v>392</v>
      </c>
      <c r="H27" s="36" t="s">
        <v>393</v>
      </c>
      <c r="I27" s="36" t="s">
        <v>124</v>
      </c>
      <c r="J27" s="36" t="s">
        <v>64</v>
      </c>
      <c r="K27" s="36" t="s">
        <v>394</v>
      </c>
      <c r="L27" s="36" t="s">
        <v>126</v>
      </c>
      <c r="M27" s="36" t="s">
        <v>101</v>
      </c>
      <c r="N27" s="36" t="s">
        <v>99</v>
      </c>
    </row>
    <row r="28" spans="1:14" ht="42">
      <c r="A28" s="30" t="s">
        <v>395</v>
      </c>
      <c r="B28" s="30" t="s">
        <v>213</v>
      </c>
      <c r="C28" s="30" t="s">
        <v>214</v>
      </c>
      <c r="D28" s="30" t="s">
        <v>215</v>
      </c>
      <c r="E28" s="30" t="s">
        <v>216</v>
      </c>
      <c r="F28" s="30" t="s">
        <v>217</v>
      </c>
      <c r="G28" s="30" t="s">
        <v>396</v>
      </c>
      <c r="H28" s="30" t="s">
        <v>397</v>
      </c>
      <c r="I28" s="44">
        <v>0.02</v>
      </c>
      <c r="J28" s="42">
        <f>I28*10000</f>
        <v>200</v>
      </c>
      <c r="K28" s="38">
        <f>J28*'Core Inputs'!B6</f>
        <v>24000</v>
      </c>
      <c r="L28" s="38">
        <v>50000</v>
      </c>
      <c r="M28" s="38">
        <f>K28-L28</f>
        <v>-26000</v>
      </c>
      <c r="N28" s="50">
        <f>L28/J28</f>
        <v>250</v>
      </c>
    </row>
    <row r="29" spans="1:14" ht="56.1">
      <c r="A29" s="30" t="s">
        <v>398</v>
      </c>
      <c r="B29" s="30" t="s">
        <v>219</v>
      </c>
      <c r="C29" s="30" t="s">
        <v>220</v>
      </c>
      <c r="D29" s="30" t="s">
        <v>221</v>
      </c>
      <c r="E29" s="30" t="s">
        <v>222</v>
      </c>
      <c r="F29" s="30" t="s">
        <v>223</v>
      </c>
      <c r="G29" s="30" t="s">
        <v>399</v>
      </c>
      <c r="H29" s="30" t="s">
        <v>400</v>
      </c>
      <c r="I29" s="44">
        <v>0.05</v>
      </c>
      <c r="J29" s="42">
        <f>I29*10000</f>
        <v>500</v>
      </c>
      <c r="K29" s="38">
        <f>J29*'Core Inputs'!B6</f>
        <v>60000</v>
      </c>
      <c r="L29" s="38">
        <v>50000</v>
      </c>
      <c r="M29" s="38">
        <f>K29-L29</f>
        <v>10000</v>
      </c>
      <c r="N29" s="50">
        <f>L29/J29</f>
        <v>100</v>
      </c>
    </row>
    <row r="30" spans="1:14" ht="42">
      <c r="A30" s="30" t="s">
        <v>401</v>
      </c>
      <c r="B30" s="30" t="s">
        <v>225</v>
      </c>
      <c r="C30" s="30" t="s">
        <v>226</v>
      </c>
      <c r="D30" s="30" t="s">
        <v>227</v>
      </c>
      <c r="E30" s="30" t="s">
        <v>402</v>
      </c>
      <c r="F30" s="30" t="s">
        <v>229</v>
      </c>
      <c r="G30" s="30" t="s">
        <v>403</v>
      </c>
      <c r="H30" s="30" t="s">
        <v>404</v>
      </c>
      <c r="I30" s="44">
        <v>0.1</v>
      </c>
      <c r="J30" s="42">
        <f>I30*10000</f>
        <v>1000</v>
      </c>
      <c r="K30" s="38">
        <f>J30*'Core Inputs'!B6</f>
        <v>120000</v>
      </c>
      <c r="L30" s="38">
        <v>50000</v>
      </c>
      <c r="M30" s="38">
        <f>K30-L30</f>
        <v>70000</v>
      </c>
      <c r="N30" s="50">
        <f>L30/J30</f>
        <v>50</v>
      </c>
    </row>
    <row r="31" spans="1:14">
      <c r="A31" s="1"/>
      <c r="I31" s="44">
        <v>0.15</v>
      </c>
      <c r="J31" s="42">
        <f>I31*10000</f>
        <v>1500</v>
      </c>
      <c r="K31" s="38">
        <f>J31*'Core Inputs'!B6</f>
        <v>180000</v>
      </c>
      <c r="L31" s="38">
        <v>50000</v>
      </c>
      <c r="M31" s="38">
        <f>K31-L31</f>
        <v>130000</v>
      </c>
      <c r="N31" s="50">
        <f>L31/J31</f>
        <v>33.333333333333336</v>
      </c>
    </row>
    <row r="32" spans="1:14" ht="37.35" customHeight="1">
      <c r="A32" s="60" t="s">
        <v>405</v>
      </c>
      <c r="B32" s="61"/>
      <c r="C32" s="61"/>
      <c r="D32" s="61"/>
      <c r="E32" s="61"/>
      <c r="F32" s="61"/>
      <c r="G32" s="61"/>
      <c r="H32" s="61"/>
      <c r="I32" s="44">
        <v>0.2</v>
      </c>
      <c r="J32" s="42">
        <f>I32*10000</f>
        <v>2000</v>
      </c>
      <c r="K32" s="38">
        <f>J32*'Core Inputs'!B6</f>
        <v>240000</v>
      </c>
      <c r="L32" s="38">
        <v>50000</v>
      </c>
      <c r="M32" s="38">
        <f>K32-L32</f>
        <v>190000</v>
      </c>
      <c r="N32" s="50">
        <f>L32/J32</f>
        <v>25</v>
      </c>
    </row>
    <row r="33" spans="1:14">
      <c r="A33" s="36" t="s">
        <v>233</v>
      </c>
      <c r="B33" s="36" t="s">
        <v>234</v>
      </c>
      <c r="C33" s="36" t="s">
        <v>92</v>
      </c>
      <c r="D33" s="36" t="s">
        <v>406</v>
      </c>
      <c r="E33" s="36" t="s">
        <v>407</v>
      </c>
      <c r="F33" s="36" t="s">
        <v>408</v>
      </c>
      <c r="G33" s="36"/>
      <c r="H33" s="36"/>
    </row>
    <row r="34" spans="1:14" ht="27.95">
      <c r="A34" s="30" t="s">
        <v>235</v>
      </c>
      <c r="B34" s="30" t="s">
        <v>236</v>
      </c>
      <c r="C34" s="30" t="s">
        <v>237</v>
      </c>
      <c r="D34" s="30" t="s">
        <v>409</v>
      </c>
      <c r="E34" s="30" t="s">
        <v>410</v>
      </c>
      <c r="F34" s="30" t="s">
        <v>411</v>
      </c>
      <c r="G34" s="30"/>
      <c r="H34" s="30"/>
    </row>
    <row r="35" spans="1:14" ht="37.35" customHeight="1">
      <c r="A35" s="30" t="s">
        <v>238</v>
      </c>
      <c r="B35" s="30" t="s">
        <v>239</v>
      </c>
      <c r="C35" s="30" t="s">
        <v>412</v>
      </c>
      <c r="D35" s="30" t="s">
        <v>413</v>
      </c>
      <c r="E35" s="30" t="s">
        <v>414</v>
      </c>
      <c r="F35" s="30" t="s">
        <v>415</v>
      </c>
      <c r="G35" s="30"/>
      <c r="H35" s="30"/>
      <c r="I35" s="62" t="s">
        <v>416</v>
      </c>
      <c r="J35" s="62"/>
      <c r="K35" s="62"/>
      <c r="L35" s="62"/>
      <c r="M35" s="62"/>
      <c r="N35" s="62"/>
    </row>
    <row r="36" spans="1:14" ht="42">
      <c r="A36" s="30" t="s">
        <v>241</v>
      </c>
      <c r="B36" s="30" t="s">
        <v>242</v>
      </c>
      <c r="C36" s="30" t="s">
        <v>243</v>
      </c>
      <c r="D36" s="30" t="s">
        <v>417</v>
      </c>
      <c r="E36" s="30" t="s">
        <v>418</v>
      </c>
      <c r="F36" s="30" t="s">
        <v>250</v>
      </c>
      <c r="G36" s="30"/>
      <c r="H36" s="30"/>
      <c r="I36" s="36" t="s">
        <v>93</v>
      </c>
      <c r="J36" s="36" t="s">
        <v>419</v>
      </c>
      <c r="K36" s="36"/>
      <c r="L36" s="36"/>
      <c r="M36" s="36"/>
      <c r="N36" s="36"/>
    </row>
    <row r="37" spans="1:14" ht="27.95">
      <c r="A37" s="30" t="s">
        <v>244</v>
      </c>
      <c r="B37" s="30" t="s">
        <v>245</v>
      </c>
      <c r="C37" s="30" t="s">
        <v>246</v>
      </c>
      <c r="D37" s="30" t="s">
        <v>420</v>
      </c>
      <c r="E37" s="30" t="s">
        <v>421</v>
      </c>
      <c r="F37" s="30" t="s">
        <v>422</v>
      </c>
      <c r="G37" s="30"/>
      <c r="H37" s="30"/>
      <c r="I37" s="36" t="s">
        <v>43</v>
      </c>
      <c r="J37" s="36" t="s">
        <v>423</v>
      </c>
      <c r="K37" s="36" t="s">
        <v>424</v>
      </c>
      <c r="L37" s="36" t="s">
        <v>425</v>
      </c>
      <c r="M37" s="36" t="s">
        <v>426</v>
      </c>
      <c r="N37" s="36" t="s">
        <v>427</v>
      </c>
    </row>
    <row r="38" spans="1:14" ht="42">
      <c r="A38" s="30" t="s">
        <v>247</v>
      </c>
      <c r="B38" s="30" t="s">
        <v>248</v>
      </c>
      <c r="C38" s="30" t="s">
        <v>249</v>
      </c>
      <c r="D38" s="30" t="s">
        <v>428</v>
      </c>
      <c r="E38" s="30" t="s">
        <v>421</v>
      </c>
      <c r="F38" s="30" t="s">
        <v>250</v>
      </c>
      <c r="G38" s="30"/>
      <c r="H38" s="30"/>
      <c r="I38" s="30" t="s">
        <v>429</v>
      </c>
      <c r="J38" s="43"/>
      <c r="K38" s="43"/>
      <c r="L38" s="44"/>
      <c r="M38" s="43"/>
      <c r="N38" s="45">
        <f>IFERROR(J38*K38*L38/M38,0)</f>
        <v>0</v>
      </c>
    </row>
    <row r="39" spans="1:14" ht="56.1">
      <c r="A39" s="30" t="s">
        <v>430</v>
      </c>
      <c r="B39" s="30" t="s">
        <v>431</v>
      </c>
      <c r="C39" s="30" t="s">
        <v>432</v>
      </c>
      <c r="D39" s="30" t="s">
        <v>433</v>
      </c>
      <c r="E39" s="30" t="s">
        <v>434</v>
      </c>
      <c r="F39" s="30" t="s">
        <v>435</v>
      </c>
      <c r="G39" s="30"/>
      <c r="H39" s="30"/>
      <c r="I39" s="30" t="s">
        <v>436</v>
      </c>
      <c r="J39" s="43"/>
      <c r="K39" s="43"/>
      <c r="L39" s="44"/>
      <c r="M39" s="43"/>
      <c r="N39" s="45">
        <f>IFERROR(J39*K39*L39/M39,0)</f>
        <v>0</v>
      </c>
    </row>
    <row r="40" spans="1:14" ht="27.95">
      <c r="A40" s="1"/>
      <c r="I40" s="30" t="s">
        <v>437</v>
      </c>
      <c r="J40" s="43"/>
      <c r="K40" s="43"/>
      <c r="L40" s="44"/>
      <c r="M40" s="43"/>
      <c r="N40" s="45">
        <f>IFERROR(J40*K40*L40/M40,0)</f>
        <v>0</v>
      </c>
    </row>
    <row r="41" spans="1:14" ht="37.35" customHeight="1">
      <c r="A41" s="63" t="s">
        <v>438</v>
      </c>
      <c r="B41" s="63"/>
      <c r="C41" s="63"/>
      <c r="D41" s="63"/>
      <c r="E41" s="63"/>
      <c r="F41" s="63"/>
      <c r="G41" s="63"/>
      <c r="H41" s="63"/>
      <c r="I41" s="63" t="s">
        <v>385</v>
      </c>
      <c r="J41" s="63"/>
      <c r="K41" s="63"/>
      <c r="L41" s="64"/>
      <c r="M41" s="63"/>
      <c r="N41" s="65">
        <f>IFERROR(J41*K41*L41/M41,0)</f>
        <v>0</v>
      </c>
    </row>
    <row r="42" spans="1:14">
      <c r="A42" s="1"/>
      <c r="I42" s="30" t="s">
        <v>439</v>
      </c>
      <c r="J42" s="43"/>
      <c r="K42" s="43"/>
      <c r="L42" s="44"/>
      <c r="M42" s="43"/>
      <c r="N42" s="45">
        <f>IFERROR(J42*K42*L42/M42,0)</f>
        <v>0</v>
      </c>
    </row>
  </sheetData>
  <mergeCells count="15">
    <mergeCell ref="A1:N1"/>
    <mergeCell ref="A2:N2"/>
    <mergeCell ref="A3:N3"/>
    <mergeCell ref="A5:D5"/>
    <mergeCell ref="E5:H5"/>
    <mergeCell ref="I5:L5"/>
    <mergeCell ref="M5:N5"/>
    <mergeCell ref="A32:H32"/>
    <mergeCell ref="I35:N35"/>
    <mergeCell ref="A41:N41"/>
    <mergeCell ref="A9:N9"/>
    <mergeCell ref="A15:H15"/>
    <mergeCell ref="I15:N15"/>
    <mergeCell ref="I26:N26"/>
    <mergeCell ref="A26:H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"/>
  <sheetViews>
    <sheetView workbookViewId="0"/>
  </sheetViews>
  <sheetFormatPr defaultColWidth="8.875" defaultRowHeight="15"/>
  <cols>
    <col min="1" max="1" width="25" customWidth="1"/>
    <col min="2" max="3" width="18" customWidth="1"/>
    <col min="4" max="4" width="28" customWidth="1"/>
    <col min="5" max="5" width="16" customWidth="1"/>
    <col min="6" max="7" width="27" customWidth="1"/>
    <col min="8" max="8" width="30" customWidth="1"/>
  </cols>
  <sheetData>
    <row r="1" spans="1:8" ht="21">
      <c r="A1" s="74" t="s">
        <v>440</v>
      </c>
      <c r="B1" s="75"/>
      <c r="C1" s="75"/>
      <c r="D1" s="75"/>
      <c r="E1" s="75"/>
      <c r="F1" s="75"/>
      <c r="G1" s="75"/>
      <c r="H1" s="75"/>
    </row>
    <row r="2" spans="1:8">
      <c r="A2" s="76" t="s">
        <v>441</v>
      </c>
      <c r="B2" s="76"/>
      <c r="C2" s="76"/>
      <c r="D2" s="76"/>
      <c r="E2" s="76"/>
      <c r="F2" s="76"/>
      <c r="G2" s="76"/>
      <c r="H2" s="76"/>
    </row>
    <row r="3" spans="1:8">
      <c r="A3" s="1"/>
    </row>
    <row r="4" spans="1:8">
      <c r="A4" s="60" t="s">
        <v>442</v>
      </c>
      <c r="B4" s="61"/>
      <c r="C4" s="61"/>
      <c r="D4" s="61"/>
      <c r="F4" s="61" t="s">
        <v>443</v>
      </c>
      <c r="G4" s="61"/>
      <c r="H4" s="61"/>
    </row>
    <row r="5" spans="1:8">
      <c r="A5" s="36" t="s">
        <v>26</v>
      </c>
      <c r="B5" s="36" t="s">
        <v>27</v>
      </c>
      <c r="C5" s="36" t="s">
        <v>59</v>
      </c>
      <c r="D5" s="36" t="s">
        <v>444</v>
      </c>
      <c r="F5" s="36" t="s">
        <v>92</v>
      </c>
      <c r="G5" s="36" t="s">
        <v>445</v>
      </c>
      <c r="H5" s="36" t="s">
        <v>106</v>
      </c>
    </row>
    <row r="6" spans="1:8">
      <c r="A6" s="30" t="s">
        <v>446</v>
      </c>
      <c r="B6" s="39">
        <f>'Core Inputs'!B6</f>
        <v>120</v>
      </c>
      <c r="C6" s="30" t="s">
        <v>388</v>
      </c>
      <c r="D6" s="30" t="s">
        <v>447</v>
      </c>
      <c r="F6" s="30" t="s">
        <v>448</v>
      </c>
      <c r="G6" s="38">
        <f>B8*B6</f>
        <v>36</v>
      </c>
      <c r="H6" s="30" t="s">
        <v>279</v>
      </c>
    </row>
    <row r="7" spans="1:8">
      <c r="A7" s="30" t="s">
        <v>449</v>
      </c>
      <c r="B7" s="46">
        <v>30</v>
      </c>
      <c r="C7" s="30" t="s">
        <v>450</v>
      </c>
      <c r="D7" s="30" t="s">
        <v>451</v>
      </c>
      <c r="F7" s="30" t="s">
        <v>452</v>
      </c>
      <c r="G7" s="38">
        <f>G6-B7</f>
        <v>6</v>
      </c>
      <c r="H7" s="30" t="s">
        <v>453</v>
      </c>
    </row>
    <row r="8" spans="1:8">
      <c r="A8" s="30" t="s">
        <v>136</v>
      </c>
      <c r="B8" s="44">
        <v>0.3</v>
      </c>
      <c r="C8" s="30" t="s">
        <v>454</v>
      </c>
      <c r="D8" s="30" t="s">
        <v>455</v>
      </c>
      <c r="F8" s="30" t="s">
        <v>456</v>
      </c>
      <c r="G8" s="37">
        <f>B7/B6</f>
        <v>0.25</v>
      </c>
      <c r="H8" s="30" t="s">
        <v>457</v>
      </c>
    </row>
    <row r="9" spans="1:8">
      <c r="A9" s="30" t="s">
        <v>458</v>
      </c>
      <c r="B9" s="47">
        <v>10000</v>
      </c>
      <c r="C9" s="30" t="s">
        <v>61</v>
      </c>
      <c r="D9" s="30" t="s">
        <v>459</v>
      </c>
      <c r="F9" s="30" t="s">
        <v>460</v>
      </c>
      <c r="G9" s="38">
        <f>G7*B9</f>
        <v>60000</v>
      </c>
      <c r="H9" s="30" t="s">
        <v>461</v>
      </c>
    </row>
    <row r="10" spans="1:8">
      <c r="A10" s="1"/>
      <c r="F10" s="30" t="s">
        <v>119</v>
      </c>
      <c r="G10" s="30" t="str">
        <f>IF(G7&gt;0,"PASS","FAIL")</f>
        <v>PASS</v>
      </c>
      <c r="H10" s="30" t="s">
        <v>462</v>
      </c>
    </row>
    <row r="11" spans="1:8">
      <c r="A11" s="1"/>
    </row>
    <row r="12" spans="1:8">
      <c r="A12" s="66" t="s">
        <v>463</v>
      </c>
      <c r="B12" s="62"/>
      <c r="C12" s="62"/>
      <c r="D12" s="62"/>
      <c r="E12" s="62"/>
      <c r="F12" s="61" t="s">
        <v>464</v>
      </c>
      <c r="G12" s="61"/>
      <c r="H12" s="61"/>
    </row>
    <row r="13" spans="1:8" ht="27.95">
      <c r="A13" s="36" t="s">
        <v>465</v>
      </c>
      <c r="B13" s="36" t="s">
        <v>456</v>
      </c>
      <c r="C13" s="36" t="s">
        <v>466</v>
      </c>
      <c r="D13" s="36" t="s">
        <v>467</v>
      </c>
      <c r="E13" s="36" t="s">
        <v>96</v>
      </c>
      <c r="F13" s="36" t="s">
        <v>92</v>
      </c>
      <c r="G13" s="36" t="s">
        <v>468</v>
      </c>
      <c r="H13" s="36" t="s">
        <v>469</v>
      </c>
    </row>
    <row r="14" spans="1:8">
      <c r="A14" s="43">
        <v>10</v>
      </c>
      <c r="B14" s="37">
        <f t="shared" ref="B14:B19" si="0">A14/$B$6</f>
        <v>8.3333333333333329E-2</v>
      </c>
      <c r="C14" s="38">
        <f t="shared" ref="C14:C19" si="1">$B$6*20%</f>
        <v>24</v>
      </c>
      <c r="D14" s="38">
        <f t="shared" ref="D14:D19" si="2">C14-A14</f>
        <v>14</v>
      </c>
      <c r="E14" s="30" t="str">
        <f t="shared" ref="E14:E19" si="3">IF(D14&gt;0,"Positive","Negative")</f>
        <v>Positive</v>
      </c>
      <c r="F14" s="30" t="s">
        <v>470</v>
      </c>
      <c r="G14" s="30" t="s">
        <v>471</v>
      </c>
      <c r="H14" s="30" t="s">
        <v>472</v>
      </c>
    </row>
    <row r="15" spans="1:8">
      <c r="A15" s="43">
        <v>20</v>
      </c>
      <c r="B15" s="37">
        <f t="shared" si="0"/>
        <v>0.16666666666666666</v>
      </c>
      <c r="C15" s="38">
        <f t="shared" si="1"/>
        <v>24</v>
      </c>
      <c r="D15" s="38">
        <f t="shared" si="2"/>
        <v>4</v>
      </c>
      <c r="E15" s="30" t="str">
        <f t="shared" si="3"/>
        <v>Positive</v>
      </c>
      <c r="F15" s="30" t="s">
        <v>473</v>
      </c>
      <c r="G15" s="30" t="s">
        <v>474</v>
      </c>
      <c r="H15" s="30" t="s">
        <v>475</v>
      </c>
    </row>
    <row r="16" spans="1:8" ht="27.95">
      <c r="A16" s="43">
        <v>30</v>
      </c>
      <c r="B16" s="37">
        <f t="shared" si="0"/>
        <v>0.25</v>
      </c>
      <c r="C16" s="38">
        <f t="shared" si="1"/>
        <v>24</v>
      </c>
      <c r="D16" s="38">
        <f t="shared" si="2"/>
        <v>-6</v>
      </c>
      <c r="E16" s="30" t="str">
        <f t="shared" si="3"/>
        <v>Negative</v>
      </c>
      <c r="F16" s="30" t="s">
        <v>476</v>
      </c>
      <c r="G16" s="30" t="s">
        <v>477</v>
      </c>
      <c r="H16" s="30" t="s">
        <v>475</v>
      </c>
    </row>
    <row r="17" spans="1:8">
      <c r="A17" s="43">
        <v>40</v>
      </c>
      <c r="B17" s="37">
        <f t="shared" si="0"/>
        <v>0.33333333333333331</v>
      </c>
      <c r="C17" s="38">
        <f t="shared" si="1"/>
        <v>24</v>
      </c>
      <c r="D17" s="38">
        <f t="shared" si="2"/>
        <v>-16</v>
      </c>
      <c r="E17" s="30" t="str">
        <f t="shared" si="3"/>
        <v>Negative</v>
      </c>
      <c r="F17" s="30" t="s">
        <v>478</v>
      </c>
      <c r="G17" s="30" t="s">
        <v>479</v>
      </c>
      <c r="H17" s="30" t="s">
        <v>475</v>
      </c>
    </row>
    <row r="18" spans="1:8">
      <c r="A18" s="43">
        <v>50</v>
      </c>
      <c r="B18" s="37">
        <f t="shared" si="0"/>
        <v>0.41666666666666669</v>
      </c>
      <c r="C18" s="38">
        <f t="shared" si="1"/>
        <v>24</v>
      </c>
      <c r="D18" s="38">
        <f t="shared" si="2"/>
        <v>-26</v>
      </c>
      <c r="E18" s="30" t="str">
        <f t="shared" si="3"/>
        <v>Negative</v>
      </c>
      <c r="F18" s="30" t="s">
        <v>480</v>
      </c>
      <c r="G18" s="30" t="s">
        <v>481</v>
      </c>
      <c r="H18" s="30" t="s">
        <v>482</v>
      </c>
    </row>
    <row r="19" spans="1:8">
      <c r="A19" s="43">
        <v>60</v>
      </c>
      <c r="B19" s="37">
        <f t="shared" si="0"/>
        <v>0.5</v>
      </c>
      <c r="C19" s="38">
        <f t="shared" si="1"/>
        <v>24</v>
      </c>
      <c r="D19" s="38">
        <f t="shared" si="2"/>
        <v>-36</v>
      </c>
      <c r="E19" s="30" t="str">
        <f t="shared" si="3"/>
        <v>Negative</v>
      </c>
    </row>
    <row r="20" spans="1:8">
      <c r="A20" s="1"/>
    </row>
  </sheetData>
  <mergeCells count="5">
    <mergeCell ref="A1:H1"/>
    <mergeCell ref="A2:H2"/>
    <mergeCell ref="A4:D4"/>
    <mergeCell ref="F4:H4"/>
    <mergeCell ref="A12:H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/>
  </sheetViews>
  <sheetFormatPr defaultColWidth="8.875" defaultRowHeight="15"/>
  <cols>
    <col min="1" max="1" width="26" customWidth="1"/>
    <col min="2" max="2" width="30" customWidth="1"/>
    <col min="3" max="3" width="42" customWidth="1"/>
    <col min="4" max="8" width="14" customWidth="1"/>
  </cols>
  <sheetData>
    <row r="1" spans="1:8" ht="21">
      <c r="A1" s="74" t="s">
        <v>483</v>
      </c>
      <c r="B1" s="75"/>
      <c r="C1" s="75"/>
      <c r="D1" s="75"/>
      <c r="E1" s="75"/>
      <c r="F1" s="75"/>
      <c r="G1" s="75"/>
      <c r="H1" s="75"/>
    </row>
    <row r="2" spans="1:8">
      <c r="A2" s="76" t="s">
        <v>484</v>
      </c>
      <c r="B2" s="76"/>
      <c r="C2" s="76"/>
      <c r="D2" s="76"/>
      <c r="E2" s="76"/>
      <c r="F2" s="76"/>
      <c r="G2" s="76"/>
      <c r="H2" s="76"/>
    </row>
    <row r="3" spans="1:8">
      <c r="A3" s="1"/>
    </row>
    <row r="4" spans="1:8">
      <c r="A4" s="60" t="s">
        <v>485</v>
      </c>
      <c r="B4" s="61"/>
      <c r="C4" s="61"/>
      <c r="D4" s="61"/>
      <c r="E4" s="61"/>
      <c r="F4" s="61"/>
      <c r="G4" s="61"/>
      <c r="H4" s="61"/>
    </row>
    <row r="5" spans="1:8" ht="27.95">
      <c r="A5" s="36" t="s">
        <v>92</v>
      </c>
      <c r="B5" s="36" t="s">
        <v>486</v>
      </c>
      <c r="C5" s="36" t="s">
        <v>93</v>
      </c>
      <c r="D5" s="36" t="s">
        <v>95</v>
      </c>
      <c r="E5" s="36" t="s">
        <v>59</v>
      </c>
      <c r="F5" s="36" t="s">
        <v>487</v>
      </c>
      <c r="G5" s="36" t="s">
        <v>93</v>
      </c>
      <c r="H5" s="36" t="s">
        <v>95</v>
      </c>
    </row>
    <row r="6" spans="1:8">
      <c r="A6" s="30" t="s">
        <v>488</v>
      </c>
      <c r="B6" s="43">
        <v>1.04</v>
      </c>
      <c r="C6" s="30" t="s">
        <v>489</v>
      </c>
      <c r="D6" s="30">
        <v>1.04</v>
      </c>
      <c r="E6" s="30" t="s">
        <v>61</v>
      </c>
      <c r="F6" s="30"/>
      <c r="G6" s="30" t="s">
        <v>490</v>
      </c>
      <c r="H6" s="30">
        <f>D6*50%</f>
        <v>0.52</v>
      </c>
    </row>
    <row r="7" spans="1:8">
      <c r="A7" s="30" t="s">
        <v>491</v>
      </c>
      <c r="B7" s="30"/>
      <c r="C7" s="30" t="s">
        <v>492</v>
      </c>
      <c r="D7" s="30">
        <f>D6*'Core Inputs'!B6</f>
        <v>124.80000000000001</v>
      </c>
      <c r="E7" s="30" t="s">
        <v>68</v>
      </c>
      <c r="F7" s="30"/>
      <c r="G7" s="30" t="s">
        <v>493</v>
      </c>
      <c r="H7" s="30">
        <f>H6*'Core Inputs'!B6</f>
        <v>62.400000000000006</v>
      </c>
    </row>
    <row r="8" spans="1:8">
      <c r="A8" s="30" t="s">
        <v>494</v>
      </c>
      <c r="B8" s="30">
        <v>35</v>
      </c>
      <c r="C8" s="30" t="s">
        <v>489</v>
      </c>
      <c r="D8" s="30">
        <f>B8</f>
        <v>35</v>
      </c>
      <c r="E8" s="30" t="s">
        <v>68</v>
      </c>
      <c r="F8" s="30">
        <v>35</v>
      </c>
      <c r="G8" s="30" t="s">
        <v>495</v>
      </c>
      <c r="H8" s="30">
        <f>B8</f>
        <v>35</v>
      </c>
    </row>
    <row r="9" spans="1:8" ht="27.95">
      <c r="A9" s="30" t="s">
        <v>496</v>
      </c>
      <c r="B9" s="30"/>
      <c r="C9" s="30" t="s">
        <v>497</v>
      </c>
      <c r="D9" s="30">
        <f>D7-D8</f>
        <v>89.800000000000011</v>
      </c>
      <c r="E9" s="30" t="s">
        <v>68</v>
      </c>
      <c r="F9" s="30"/>
      <c r="G9" s="30" t="s">
        <v>497</v>
      </c>
      <c r="H9" s="30">
        <f>H7-H8</f>
        <v>27.400000000000006</v>
      </c>
    </row>
    <row r="10" spans="1:8">
      <c r="A10" s="30" t="s">
        <v>498</v>
      </c>
      <c r="B10" s="43"/>
      <c r="C10" s="30" t="s">
        <v>490</v>
      </c>
      <c r="D10" s="30">
        <f>D6*50%</f>
        <v>0.52</v>
      </c>
      <c r="E10" s="30" t="s">
        <v>499</v>
      </c>
      <c r="F10" s="30"/>
      <c r="G10" s="30"/>
      <c r="H10" s="30">
        <f>D10</f>
        <v>0.52</v>
      </c>
    </row>
    <row r="11" spans="1:8">
      <c r="A11" s="30" t="s">
        <v>500</v>
      </c>
      <c r="B11" s="43">
        <v>0.25</v>
      </c>
      <c r="C11" s="30" t="s">
        <v>501</v>
      </c>
      <c r="D11" s="30">
        <v>0.25</v>
      </c>
      <c r="E11" s="30" t="s">
        <v>502</v>
      </c>
      <c r="F11" s="30"/>
      <c r="G11" s="30"/>
      <c r="H11" s="30"/>
    </row>
    <row r="12" spans="1:8">
      <c r="A12" s="30" t="s">
        <v>503</v>
      </c>
      <c r="B12" s="43">
        <v>2000</v>
      </c>
      <c r="C12" s="30" t="s">
        <v>61</v>
      </c>
      <c r="D12" s="30">
        <v>2000</v>
      </c>
      <c r="E12" s="30" t="s">
        <v>61</v>
      </c>
      <c r="F12" s="30"/>
      <c r="G12" s="30"/>
      <c r="H12" s="30"/>
    </row>
    <row r="13" spans="1:8">
      <c r="A13" s="1"/>
    </row>
    <row r="14" spans="1:8">
      <c r="A14" s="66" t="s">
        <v>504</v>
      </c>
      <c r="B14" s="62"/>
      <c r="C14" s="62"/>
      <c r="D14" s="62"/>
      <c r="E14" s="62"/>
      <c r="F14" s="62"/>
      <c r="G14" s="62"/>
      <c r="H14" s="62"/>
    </row>
    <row r="15" spans="1:8">
      <c r="A15" s="36" t="s">
        <v>92</v>
      </c>
      <c r="B15" s="36" t="s">
        <v>93</v>
      </c>
      <c r="C15" s="36" t="s">
        <v>95</v>
      </c>
      <c r="D15" s="36" t="s">
        <v>59</v>
      </c>
      <c r="E15" s="36" t="s">
        <v>106</v>
      </c>
      <c r="F15" s="36"/>
      <c r="G15" s="36"/>
      <c r="H15" s="36"/>
    </row>
    <row r="16" spans="1:8" ht="27.95">
      <c r="A16" s="30" t="s">
        <v>505</v>
      </c>
      <c r="B16" s="30" t="s">
        <v>506</v>
      </c>
      <c r="C16" s="42">
        <f>3%*2000</f>
        <v>60</v>
      </c>
      <c r="D16" s="30" t="s">
        <v>507</v>
      </c>
      <c r="E16" s="30" t="s">
        <v>508</v>
      </c>
      <c r="F16" s="30"/>
      <c r="G16" s="30"/>
      <c r="H16" s="30"/>
    </row>
    <row r="17" spans="1:8">
      <c r="A17" s="30" t="s">
        <v>509</v>
      </c>
      <c r="B17" s="30" t="s">
        <v>510</v>
      </c>
      <c r="C17" s="48">
        <f>C16*'Core Inputs'!B6</f>
        <v>7200</v>
      </c>
      <c r="D17" s="30" t="s">
        <v>68</v>
      </c>
      <c r="E17" s="30" t="s">
        <v>511</v>
      </c>
      <c r="F17" s="30"/>
      <c r="G17" s="30"/>
      <c r="H17" s="30"/>
    </row>
    <row r="18" spans="1:8" ht="42">
      <c r="A18" s="30" t="s">
        <v>512</v>
      </c>
      <c r="B18" s="30" t="s">
        <v>513</v>
      </c>
      <c r="C18" s="48">
        <f>25%*C17</f>
        <v>1800</v>
      </c>
      <c r="D18" s="30" t="s">
        <v>68</v>
      </c>
      <c r="E18" s="30" t="s">
        <v>514</v>
      </c>
      <c r="F18" s="30"/>
      <c r="G18" s="30"/>
      <c r="H18" s="30"/>
    </row>
    <row r="19" spans="1:8" ht="27.95">
      <c r="A19" s="30" t="s">
        <v>515</v>
      </c>
      <c r="B19" s="30" t="s">
        <v>516</v>
      </c>
      <c r="C19" s="48">
        <f>C18/2000</f>
        <v>0.9</v>
      </c>
      <c r="D19" s="30" t="s">
        <v>517</v>
      </c>
      <c r="E19" s="30" t="s">
        <v>518</v>
      </c>
      <c r="F19" s="30"/>
      <c r="G19" s="30"/>
      <c r="H19" s="30"/>
    </row>
    <row r="20" spans="1:8" ht="56.1">
      <c r="A20" s="30" t="s">
        <v>519</v>
      </c>
      <c r="B20" s="30" t="s">
        <v>520</v>
      </c>
      <c r="C20" s="30"/>
      <c r="D20" s="30" t="s">
        <v>521</v>
      </c>
      <c r="E20" s="30" t="s">
        <v>522</v>
      </c>
      <c r="F20" s="30"/>
      <c r="G20" s="30"/>
      <c r="H20" s="30"/>
    </row>
    <row r="21" spans="1:8">
      <c r="A21" s="1"/>
    </row>
    <row r="22" spans="1:8">
      <c r="A22" s="60" t="s">
        <v>523</v>
      </c>
      <c r="B22" s="61"/>
      <c r="C22" s="61"/>
      <c r="D22" s="61"/>
      <c r="E22" s="61"/>
      <c r="F22" s="61"/>
      <c r="G22" s="61"/>
      <c r="H22" s="61"/>
    </row>
    <row r="23" spans="1:8">
      <c r="A23" s="36" t="s">
        <v>524</v>
      </c>
      <c r="B23" s="36" t="s">
        <v>525</v>
      </c>
      <c r="C23" s="36" t="s">
        <v>526</v>
      </c>
    </row>
    <row r="24" spans="1:8">
      <c r="A24" s="30" t="s">
        <v>527</v>
      </c>
      <c r="B24" s="30" t="s">
        <v>528</v>
      </c>
      <c r="C24" s="30" t="s">
        <v>529</v>
      </c>
    </row>
    <row r="25" spans="1:8" ht="27.95">
      <c r="A25" s="30" t="s">
        <v>530</v>
      </c>
      <c r="B25" s="30" t="s">
        <v>531</v>
      </c>
      <c r="C25" s="30" t="s">
        <v>532</v>
      </c>
    </row>
    <row r="26" spans="1:8">
      <c r="A26" s="30" t="s">
        <v>533</v>
      </c>
      <c r="B26" s="30" t="s">
        <v>534</v>
      </c>
      <c r="C26" s="30" t="s">
        <v>535</v>
      </c>
    </row>
    <row r="27" spans="1:8" ht="42">
      <c r="A27" s="30" t="s">
        <v>536</v>
      </c>
      <c r="B27" s="30" t="s">
        <v>537</v>
      </c>
      <c r="C27" s="30" t="s">
        <v>538</v>
      </c>
    </row>
    <row r="28" spans="1:8" ht="27.95">
      <c r="A28" s="30" t="s">
        <v>539</v>
      </c>
      <c r="B28" s="30" t="s">
        <v>540</v>
      </c>
      <c r="C28" s="30" t="s">
        <v>541</v>
      </c>
    </row>
    <row r="29" spans="1:8">
      <c r="A29" s="1"/>
    </row>
    <row r="30" spans="1:8">
      <c r="A30" s="1"/>
    </row>
  </sheetData>
  <mergeCells count="5">
    <mergeCell ref="A1:H1"/>
    <mergeCell ref="A2:H2"/>
    <mergeCell ref="A4:H4"/>
    <mergeCell ref="A14:H14"/>
    <mergeCell ref="A22:H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"/>
  <sheetViews>
    <sheetView workbookViewId="0"/>
  </sheetViews>
  <sheetFormatPr defaultColWidth="8.875" defaultRowHeight="15"/>
  <cols>
    <col min="1" max="1" width="30" customWidth="1"/>
    <col min="2" max="2" width="42" customWidth="1"/>
    <col min="3" max="4" width="36" customWidth="1"/>
    <col min="5" max="8" width="12" customWidth="1"/>
  </cols>
  <sheetData>
    <row r="1" spans="1:8" ht="21">
      <c r="A1" s="74" t="s">
        <v>542</v>
      </c>
      <c r="B1" s="75"/>
      <c r="C1" s="75"/>
      <c r="D1" s="75"/>
      <c r="E1" s="75"/>
      <c r="F1" s="75"/>
      <c r="G1" s="75"/>
      <c r="H1" s="75"/>
    </row>
    <row r="2" spans="1:8">
      <c r="A2" s="76" t="s">
        <v>543</v>
      </c>
      <c r="B2" s="76"/>
      <c r="C2" s="76"/>
      <c r="D2" s="76"/>
      <c r="E2" s="76"/>
      <c r="F2" s="76"/>
      <c r="G2" s="76"/>
      <c r="H2" s="76"/>
    </row>
    <row r="3" spans="1:8">
      <c r="A3" s="1"/>
    </row>
    <row r="4" spans="1:8">
      <c r="A4" s="60" t="s">
        <v>544</v>
      </c>
      <c r="B4" s="61"/>
      <c r="C4" s="61"/>
      <c r="D4" s="61"/>
      <c r="F4" s="62" t="s">
        <v>545</v>
      </c>
      <c r="G4" s="62"/>
      <c r="H4" s="62"/>
    </row>
    <row r="5" spans="1:8">
      <c r="A5" s="36" t="s">
        <v>26</v>
      </c>
      <c r="B5" s="36" t="s">
        <v>27</v>
      </c>
      <c r="C5" s="36" t="s">
        <v>59</v>
      </c>
      <c r="D5" s="36" t="s">
        <v>546</v>
      </c>
      <c r="F5" s="36" t="s">
        <v>92</v>
      </c>
      <c r="G5" s="36" t="s">
        <v>93</v>
      </c>
      <c r="H5" s="36" t="s">
        <v>95</v>
      </c>
    </row>
    <row r="6" spans="1:8" ht="27.95">
      <c r="A6" s="30" t="s">
        <v>547</v>
      </c>
      <c r="B6" s="43">
        <v>1000000</v>
      </c>
      <c r="C6" s="30" t="s">
        <v>61</v>
      </c>
      <c r="D6" s="30" t="s">
        <v>548</v>
      </c>
      <c r="F6" s="30" t="s">
        <v>505</v>
      </c>
      <c r="G6" s="30"/>
      <c r="H6" s="49">
        <f>B8*B9</f>
        <v>2.7349999999999999E-2</v>
      </c>
    </row>
    <row r="7" spans="1:8" ht="42">
      <c r="A7" s="30" t="s">
        <v>329</v>
      </c>
      <c r="B7" s="44">
        <v>0.17</v>
      </c>
      <c r="C7" s="30" t="s">
        <v>41</v>
      </c>
      <c r="D7" s="30" t="s">
        <v>549</v>
      </c>
      <c r="F7" s="30" t="s">
        <v>550</v>
      </c>
      <c r="G7" s="30"/>
      <c r="H7" s="49">
        <f>B7-H6</f>
        <v>0.14265</v>
      </c>
    </row>
    <row r="8" spans="1:8" ht="42">
      <c r="A8" s="30" t="s">
        <v>551</v>
      </c>
      <c r="B8" s="44">
        <v>5.4699999999999999E-2</v>
      </c>
      <c r="C8" s="30" t="s">
        <v>41</v>
      </c>
      <c r="D8" s="30" t="s">
        <v>552</v>
      </c>
      <c r="F8" s="30" t="s">
        <v>553</v>
      </c>
      <c r="G8" s="30"/>
      <c r="H8" s="42">
        <f>B6*H6</f>
        <v>27350</v>
      </c>
    </row>
    <row r="9" spans="1:8" ht="42">
      <c r="A9" s="30" t="s">
        <v>554</v>
      </c>
      <c r="B9" s="44">
        <v>0.5</v>
      </c>
      <c r="C9" s="30" t="s">
        <v>41</v>
      </c>
      <c r="D9" s="30" t="s">
        <v>555</v>
      </c>
      <c r="F9" s="30" t="s">
        <v>556</v>
      </c>
      <c r="G9" s="30"/>
      <c r="H9" s="38">
        <f>H8*B10</f>
        <v>3282000</v>
      </c>
    </row>
    <row r="10" spans="1:8" ht="27.95">
      <c r="A10" s="30" t="s">
        <v>261</v>
      </c>
      <c r="B10" s="39">
        <f>'Core Inputs'!B6</f>
        <v>120</v>
      </c>
      <c r="C10" s="30" t="s">
        <v>388</v>
      </c>
      <c r="D10" s="30" t="s">
        <v>557</v>
      </c>
      <c r="F10" s="30" t="s">
        <v>558</v>
      </c>
      <c r="G10" s="30"/>
      <c r="H10" s="38">
        <f>H9*12</f>
        <v>39384000</v>
      </c>
    </row>
    <row r="11" spans="1:8" ht="56.1">
      <c r="A11" s="1"/>
      <c r="F11" s="30" t="s">
        <v>559</v>
      </c>
      <c r="G11" s="30"/>
      <c r="H11" s="38">
        <f>'Core Inputs'!B5/(1-H7)</f>
        <v>58.319239517116692</v>
      </c>
    </row>
    <row r="12" spans="1:8">
      <c r="A12" s="1"/>
    </row>
    <row r="13" spans="1:8">
      <c r="A13" s="60" t="s">
        <v>560</v>
      </c>
      <c r="B13" s="61"/>
      <c r="C13" s="61"/>
      <c r="D13" s="61"/>
      <c r="E13" s="61"/>
      <c r="F13" s="61"/>
      <c r="G13" s="61"/>
      <c r="H13" s="61"/>
    </row>
    <row r="14" spans="1:8">
      <c r="A14" s="36" t="s">
        <v>561</v>
      </c>
      <c r="B14" s="36" t="s">
        <v>562</v>
      </c>
      <c r="C14" s="36" t="s">
        <v>563</v>
      </c>
      <c r="D14" s="36" t="s">
        <v>11</v>
      </c>
    </row>
    <row r="15" spans="1:8" ht="27.95">
      <c r="A15" s="30" t="s">
        <v>564</v>
      </c>
      <c r="B15" s="30" t="s">
        <v>565</v>
      </c>
      <c r="C15" s="30" t="s">
        <v>566</v>
      </c>
      <c r="D15" s="30" t="s">
        <v>567</v>
      </c>
    </row>
    <row r="16" spans="1:8">
      <c r="A16" s="30" t="s">
        <v>568</v>
      </c>
      <c r="B16" s="30" t="s">
        <v>569</v>
      </c>
      <c r="C16" s="30" t="s">
        <v>570</v>
      </c>
      <c r="D16" s="30" t="s">
        <v>571</v>
      </c>
    </row>
    <row r="17" spans="1:4">
      <c r="A17" s="30" t="s">
        <v>572</v>
      </c>
      <c r="B17" s="30" t="s">
        <v>573</v>
      </c>
      <c r="C17" s="30" t="s">
        <v>574</v>
      </c>
      <c r="D17" s="30" t="s">
        <v>575</v>
      </c>
    </row>
    <row r="18" spans="1:4" ht="27.95">
      <c r="A18" s="30" t="s">
        <v>576</v>
      </c>
      <c r="B18" s="30" t="s">
        <v>577</v>
      </c>
      <c r="C18" s="30" t="s">
        <v>578</v>
      </c>
      <c r="D18" s="30" t="s">
        <v>579</v>
      </c>
    </row>
    <row r="19" spans="1:4">
      <c r="A19" s="1"/>
    </row>
    <row r="20" spans="1:4">
      <c r="A20" s="1"/>
    </row>
  </sheetData>
  <mergeCells count="5">
    <mergeCell ref="A1:H1"/>
    <mergeCell ref="A2:H2"/>
    <mergeCell ref="A4:D4"/>
    <mergeCell ref="F4:H4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2026-10-03T22:11:55Z</dcterms:created>
  <dcterms:modified xsi:type="dcterms:W3CDTF">2026-10-05T15:11:47Z</dcterms:modified>
  <cp:category/>
  <cp:contentStatus/>
</cp:coreProperties>
</file>